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69fed0236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63c590d15b40a7"/>
    <x:sheet xmlns:r="http://schemas.openxmlformats.org/officeDocument/2006/relationships" name="Guest Experience" sheetId="2" r:id="R77f8d217ef434af0"/>
    <x:sheet xmlns:r="http://schemas.openxmlformats.org/officeDocument/2006/relationships" name="Admin Authentication" sheetId="3" r:id="Rf2f5a3563f484337"/>
    <x:sheet xmlns:r="http://schemas.openxmlformats.org/officeDocument/2006/relationships" name="Admin Navigation" sheetId="4" r:id="R1344d58cc73f4f8f"/>
    <x:sheet xmlns:r="http://schemas.openxmlformats.org/officeDocument/2006/relationships" name="Admin Controls" sheetId="5" r:id="R4c788445b2994ccb"/>
    <x:sheet xmlns:r="http://schemas.openxmlformats.org/officeDocument/2006/relationships" name="Responsive Review" sheetId="6" r:id="R0062c1fd9c1749b9"/>
    <x:sheet xmlns:r="http://schemas.openxmlformats.org/officeDocument/2006/relationships" name="Environment Checks" sheetId="7" r:id="R36b61a10a6e1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theme="1"/>
      <x:name val="Calibri"/>
    </x:font>
    <x:font>
      <x:b/>
      <x:sz val="18"/>
      <x:color rgb="FFFFFFFF"/>
      <x:name val="Calibri"/>
    </x:font>
    <x:font>
      <x:b/>
      <x:sz val="11"/>
      <x:color rgb="FF1F2937"/>
      <x:name val="Calibri"/>
    </x:font>
    <x:font>
      <x:sz val="11"/>
      <x:color rgb="FF666666"/>
      <x:name val="Calibri"/>
    </x:font>
    <x:font>
      <x:sz val="11"/>
      <x:color rgb="FF1F2937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sz val="11"/>
      <x:color rgb="FF0000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DEBF7"/>
      </x:patternFill>
    </x:fill>
    <x:fill>
      <x:patternFill patternType="solid">
        <x:fgColor rgb="FFFAFAFA"/>
      </x:patternFill>
    </x:fill>
    <x:fill>
      <x:patternFill patternType="solid">
        <x:fgColor rgb="FFFFF2CC"/>
      </x:patternFill>
    </x:fill>
    <x:fill>
      <x:patternFill patternType="solid">
        <x:fgColor rgb="FFFCE8B2"/>
      </x:patternFill>
    </x:fill>
  </x:fills>
  <x:borders count="3">
    <x:border/>
    <x:border>
      <x:top style="medium">
        <x:color rgb="FF1F4E78"/>
      </x:top>
    </x:border>
    <x:border>
      <x:bottom style="medium">
        <x:color rgb="FF1F4E7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2" fillId="3" borderId="0" xfId="0"/>
    <x:xf numFmtId="0" fontId="3" fillId="0" borderId="0" xfId="0" applyAlignment="1">
      <x:alignment vertical="top" wrapText="1"/>
    </x:xf>
    <x:xf numFmtId="0" fontId="5" fillId="2" borderId="0" xfId="0"/>
    <x:xf numFmtId="0" fontId="6" fillId="3" borderId="0" xfId="0"/>
    <x:xf numFmtId="0" fontId="4" fillId="0" borderId="0" xfId="0" applyAlignment="1">
      <x:alignment vertical="top" wrapText="1"/>
    </x:xf>
    <x:xf numFmtId="0" fontId="5" fillId="2" borderId="0" xfId="0" applyAlignment="1">
      <x:alignment horizontal="center"/>
    </x:xf>
    <x:xf numFmtId="164" fontId="0" fillId="0" borderId="0" xfId="0"/>
    <x:xf numFmtId="0" fontId="2" fillId="4" borderId="1" xfId="0"/>
    <x:xf numFmtId="164" fontId="2" fillId="4" borderId="1" xfId="0"/>
    <x:xf numFmtId="0" fontId="5" fillId="2" borderId="2" xfId="0" applyAlignment="1">
      <x:alignment horizontal="center" vertical="center"/>
    </x:xf>
    <x:xf numFmtId="0" fontId="3" fillId="5" borderId="0" xfId="0" applyAlignment="1">
      <x:alignment vertical="top" wrapText="1"/>
    </x:xf>
    <x:xf numFmtId="0" fontId="7" fillId="5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1" fillId="2" borderId="0" xfId="0" applyAlignment="1">
      <x:alignment horizontal="left" vertical="center"/>
    </x:xf>
    <x:xf numFmtId="0" fontId="0" fillId="0" borderId="0" xfId="0"/>
    <x:xf numFmtId="0" fontId="6" fillId="7" borderId="0" xfId="0"/>
    <x:xf numFmtId="0" fontId="0" fillId="7" borderId="0" xfId="0"/>
  </x:cellXfs>
  <x:cellStyles count="1">
    <x:cellStyle name="Normal" xfId="0"/>
  </x:cellStyles>
  <x:dxfs count="67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color rgb="008A4B08"/>
      </x:font>
      <x:fill>
        <x:patternFill>
          <x:bgColor rgb="00FCE8B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869e45ceb4e22" /><Relationship Type="http://schemas.openxmlformats.org/officeDocument/2006/relationships/theme" Target="/xl/theme/theme1.xml" Id="Re9cf21ff38e74e85" /><Relationship Type="http://schemas.openxmlformats.org/officeDocument/2006/relationships/sharedStrings" Target="/xl/sharedStrings.xml" Id="Rbde44769aec34a56" /><Relationship Type="http://schemas.openxmlformats.org/officeDocument/2006/relationships/worksheet" Target="/xl/worksheets/sheet1.xml" Id="Rb163c590d15b40a7" /><Relationship Type="http://schemas.openxmlformats.org/officeDocument/2006/relationships/worksheet" Target="/xl/worksheets/sheet2.xml" Id="R77f8d217ef434af0" /><Relationship Type="http://schemas.openxmlformats.org/officeDocument/2006/relationships/worksheet" Target="/xl/worksheets/sheet3.xml" Id="Rf2f5a3563f484337" /><Relationship Type="http://schemas.openxmlformats.org/officeDocument/2006/relationships/worksheet" Target="/xl/worksheets/sheet4.xml" Id="R1344d58cc73f4f8f" /><Relationship Type="http://schemas.openxmlformats.org/officeDocument/2006/relationships/worksheet" Target="/xl/worksheets/sheet5.xml" Id="R4c788445b2994ccb" /><Relationship Type="http://schemas.openxmlformats.org/officeDocument/2006/relationships/worksheet" Target="/xl/worksheets/sheet6.xml" Id="R0062c1fd9c1749b9" /><Relationship Type="http://schemas.openxmlformats.org/officeDocument/2006/relationships/worksheet" Target="/xl/worksheets/sheet7.xml" Id="R36b61a10a6e14a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4a444c524c489d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Checklist Progress</a:t>
            </a:r>
          </a:p>
        </c:rich>
      </c:tx>
      <c:overlay val="1"/>
    </c:title>
    <c:plotArea>
      <c:pieChart>
        <c:ser>
          <c:idx val="0"/>
          <c:order val="0"/>
          <c:tx>
            <c:strRef>
              <c:f>Summary!$I$3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Summary!$H$4:$H$6</c:f>
              <c:strCache>
                <c:ptCount val="3"/>
                <c:pt idx="0">
                  <c:v>Pass</c:v>
                </c:pt>
                <c:pt idx="1">
                  <c:v>Fail</c:v>
                </c:pt>
                <c:pt idx="2">
                  <c:v>Not Tested</c:v>
                </c:pt>
              </c:strCache>
            </c:strRef>
          </c:cat>
          <c:val>
            <c:numRef>
              <c:f>Summary!$I$4:$I$6</c:f>
              <c:numCache>
                <c:formatCode>General</c:formatCode>
                <c:ptCount val="3"/>
                <c:pt idx="0">
                  <c:v>26</c:v>
                </c:pt>
                <c:pt idx="1">
                  <c:v>33</c:v>
                </c:pt>
                <c:pt idx="2">
                  <c:v>73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7</xdr:row>
      <xdr:rowOff>0</xdr:rowOff>
    </xdr:from>
    <xdr:ext cx="360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4a444c524c489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aa6b4e7b3445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baseColWidth="8" defaultRowHeight="15"/>
  <x:cols>
    <x:col min="1" max="1" width="25" style="16" customWidth="1"/>
    <x:col min="2" max="2" width="50" style="16" customWidth="1"/>
    <x:col min="3" max="5" width="13" style="16" customWidth="1"/>
    <x:col min="6" max="6" width="15" style="16" customWidth="1"/>
    <x:col min="7" max="7" width="14" style="16" customWidth="1"/>
    <x:col min="8" max="8" width="18" style="16" customWidth="1"/>
    <x:col min="9" max="9" width="13" style="16" customWidth="1"/>
  </x:cols>
  <x:sheetData>
    <x:row r="1" s="16" customFormat="1" ht="30" customHeight="1">
      <x:c r="A1" s="15" t="inlineStr">
        <x:is>
          <x:t xml:space="preserve">Concierge.AI Manual UI Checklist</x:t>
        </x:is>
      </x:c>
    </x:row>
    <x:row r="3">
      <x:c r="A3" s="1" t="inlineStr">
        <x:is>
          <x:t xml:space="preserve">Guest URL</x:t>
        </x:is>
      </x:c>
      <x:c r="B3" s="2" t="inlineStr">
        <x:is>
          <x:t xml:space="preserve">http://127.0.0.1:8080</x:t>
        </x:is>
      </x:c>
      <x:c r="H3" s="3" t="inlineStr">
        <x:is>
          <x:t xml:space="preserve">Overall Status</x:t>
        </x:is>
      </x:c>
    </x:row>
    <x:row r="4">
      <x:c r="A4" s="1" t="inlineStr">
        <x:is>
          <x:t xml:space="preserve">Admin URL</x:t>
        </x:is>
      </x:c>
      <x:c r="B4" s="2" t="inlineStr">
        <x:is>
          <x:t xml:space="preserve">http://127.0.0.1:8080/admin</x:t>
        </x:is>
      </x:c>
      <x:c r="H4" s="4" t="inlineStr">
        <x:is>
          <x:t xml:space="preserve">Pass</x:t>
        </x:is>
      </x:c>
      <x:c r="I4" t="n">
        <x:f>C18</x:f>
        <x:v>81</x:v>
      </x:c>
    </x:row>
    <x:row r="5">
      <x:c r="A5" s="1" t="inlineStr">
        <x:is>
          <x:t xml:space="preserve">Default Username</x:t>
        </x:is>
      </x:c>
      <x:c r="B5" s="2" t="inlineStr">
        <x:is>
          <x:t xml:space="preserve">admin</x:t>
        </x:is>
      </x:c>
      <x:c r="H5" s="4" t="inlineStr">
        <x:is>
          <x:t xml:space="preserve">Fail</x:t>
        </x:is>
      </x:c>
      <x:c r="I5" t="n">
        <x:f>D18</x:f>
        <x:v>2</x:v>
      </x:c>
    </x:row>
    <x:row r="6">
      <x:c r="A6" s="1" t="inlineStr">
        <x:is>
          <x:t xml:space="preserve">Default Password</x:t>
        </x:is>
      </x:c>
      <x:c r="B6" s="2" t="inlineStr">
        <x:is>
          <x:t xml:space="preserve">ChangeMe123!</x:t>
        </x:is>
      </x:c>
      <x:c r="H6" s="17" t="inlineStr">
        <x:is>
          <x:t xml:space="preserve">Pending</x:t>
        </x:is>
      </x:c>
      <x:c r="I6" s="18" t="n">
        <x:f>E18</x:f>
        <x:v>48</x:v>
      </x:c>
    </x:row>
    <x:row r="7">
      <x:c r="A7" s="1" t="n"/>
      <x:c r="B7" s="2" t="n"/>
      <x:c r="H7" s="4" t="inlineStr">
        <x:is>
          <x:t xml:space="preserve">Not Tested</x:t>
        </x:is>
      </x:c>
      <x:c r="I7" t="n">
        <x:f>F18</x:f>
        <x:v>1</x:v>
      </x:c>
    </x:row>
    <x:row r="8" s="16" customFormat="1" ht="60" customHeight="1">
      <x:c r="A8" s="1" t="inlineStr">
        <x:is>
          <x:t xml:space="preserve">Instructions</x:t>
        </x:is>
      </x:c>
      <x:c r="B8" s="5" t="inlineStr">
        <x:is>
          <x:t xml:space="preserve">Enter Pass, Fail, or Pending in the Result column and add observations in Comments. Pending means the test is intentionally deferred or waiting on a dependency; blank means not yet tested.</x:t>
        </x:is>
      </x:c>
    </x:row>
    <x:row r="11">
      <x:c r="A11" s="6" t="inlineStr">
        <x:is>
          <x:t xml:space="preserve">Section</x:t>
        </x:is>
      </x:c>
      <x:c r="B11" s="6" t="inlineStr">
        <x:is>
          <x:t xml:space="preserve">Total</x:t>
        </x:is>
      </x:c>
      <x:c r="C11" s="6" t="inlineStr">
        <x:is>
          <x:t xml:space="preserve">Pass</x:t>
        </x:is>
      </x:c>
      <x:c r="D11" s="6" t="inlineStr">
        <x:is>
          <x:t xml:space="preserve">Fail</x:t>
        </x:is>
      </x:c>
      <x:c r="E11" s="6" t="inlineStr">
        <x:is>
          <x:t xml:space="preserve">Pending</x:t>
        </x:is>
      </x:c>
      <x:c r="F11" s="6" t="inlineStr">
        <x:is>
          <x:t xml:space="preserve">Not Tested</x:t>
        </x:is>
      </x:c>
      <x:c r="G11" s="6" t="inlineStr">
        <x:is>
          <x:t xml:space="preserve">Completion %</x:t>
        </x:is>
      </x:c>
    </x:row>
    <x:row r="12">
      <x:c r="A12" t="inlineStr">
        <x:is>
          <x:t xml:space="preserve">Guest Experience</x:t>
        </x:is>
      </x:c>
      <x:c r="B12" t="n">
        <x:v>28</x:v>
      </x:c>
      <x:c r="C12" t="n">
        <x:f>COUNTIF('Guest Experience'!D2:D29,"Pass")</x:f>
        <x:v>18</x:v>
      </x:c>
      <x:c r="D12" t="n">
        <x:f>COUNTIF('Guest Experience'!D2:D29,"Fail")</x:f>
        <x:v>0</x:v>
      </x:c>
      <x:c r="E12" t="n">
        <x:f>COUNTIF('Guest Experience'!D2:D29,"Pending")</x:f>
        <x:v>9</x:v>
      </x:c>
      <x:c r="F12" t="n">
        <x:f>COUNTBLANK('Guest Experience'!D2:D29)</x:f>
        <x:v>1</x:v>
      </x:c>
      <x:c r="G12" s="7" t="n">
        <x:f>IF(B12=0,0,(C12+D12)/B12)</x:f>
        <x:v>0.6428571428571429</x:v>
      </x:c>
    </x:row>
    <x:row r="13">
      <x:c r="A13" t="inlineStr">
        <x:is>
          <x:t xml:space="preserve">Admin Authentication</x:t>
        </x:is>
      </x:c>
      <x:c r="B13" t="n">
        <x:v>8</x:v>
      </x:c>
      <x:c r="C13" t="n">
        <x:f>COUNTIF('Admin Authentication'!D2:D9,"Pass")</x:f>
        <x:v>8</x:v>
      </x:c>
      <x:c r="D13" t="n">
        <x:f>COUNTIF('Admin Authentication'!D2:D9,"Fail")</x:f>
        <x:v>0</x:v>
      </x:c>
      <x:c r="E13" t="n">
        <x:f>COUNTIF('Admin Authentication'!D2:D9,"Pending")</x:f>
        <x:v>0</x:v>
      </x:c>
      <x:c r="F13" t="n">
        <x:f>COUNTBLANK('Admin Authentication'!D2:D9)</x:f>
        <x:v>0</x:v>
      </x:c>
      <x:c r="G13" s="7" t="n">
        <x:f>IF(B13=0,0,(C13+D13)/B13)</x:f>
        <x:v>1</x:v>
      </x:c>
    </x:row>
    <x:row r="14">
      <x:c r="A14" t="inlineStr">
        <x:is>
          <x:t xml:space="preserve">Admin Navigation</x:t>
        </x:is>
      </x:c>
      <x:c r="B14" t="n">
        <x:v>36</x:v>
      </x:c>
      <x:c r="C14" t="n">
        <x:f>COUNTIF('Admin Navigation'!D2:D37,"Pass")</x:f>
        <x:v>36</x:v>
      </x:c>
      <x:c r="D14" t="n">
        <x:f>COUNTIF('Admin Navigation'!D2:D37,"Fail")</x:f>
        <x:v>0</x:v>
      </x:c>
      <x:c r="E14" t="n">
        <x:f>COUNTIF('Admin Navigation'!D2:D37,"Pending")</x:f>
        <x:v>0</x:v>
      </x:c>
      <x:c r="F14" t="n">
        <x:f>COUNTBLANK('Admin Navigation'!D2:D37)</x:f>
        <x:v>0</x:v>
      </x:c>
      <x:c r="G14" s="7" t="n">
        <x:f>IF(B14=0,0,(C14+D14)/B14)</x:f>
        <x:v>1</x:v>
      </x:c>
    </x:row>
    <x:row r="15">
      <x:c r="A15" t="inlineStr">
        <x:is>
          <x:t xml:space="preserve">Admin Controls</x:t>
        </x:is>
      </x:c>
      <x:c r="B15" t="n">
        <x:v>47</x:v>
      </x:c>
      <x:c r="C15" t="n">
        <x:f>COUNTIF('Admin Controls'!D2:D48,"Pass")</x:f>
        <x:v>11</x:v>
      </x:c>
      <x:c r="D15" t="n">
        <x:f>COUNTIF('Admin Controls'!D2:D48,"Fail")</x:f>
        <x:v>2</x:v>
      </x:c>
      <x:c r="E15" t="n">
        <x:f>COUNTIF('Admin Controls'!D2:D48,"Pending")</x:f>
        <x:v>34</x:v>
      </x:c>
      <x:c r="F15" t="n">
        <x:f>COUNTBLANK('Admin Controls'!D2:D48)</x:f>
        <x:v>0</x:v>
      </x:c>
      <x:c r="G15" s="7" t="n">
        <x:f>IF(B15=0,0,(C15+D15)/B15)</x:f>
        <x:v>0.2765957446808511</x:v>
      </x:c>
    </x:row>
    <x:row r="16">
      <x:c r="A16" t="inlineStr">
        <x:is>
          <x:t xml:space="preserve">Responsive Review</x:t>
        </x:is>
      </x:c>
      <x:c r="B16" t="n">
        <x:v>8</x:v>
      </x:c>
      <x:c r="C16" t="n">
        <x:f>COUNTIF('Responsive Review'!D2:D9,"Pass")</x:f>
        <x:v>7</x:v>
      </x:c>
      <x:c r="D16" t="n">
        <x:f>COUNTIF('Responsive Review'!D2:D9,"Fail")</x:f>
        <x:v>0</x:v>
      </x:c>
      <x:c r="E16" t="n">
        <x:f>COUNTIF('Responsive Review'!D2:D9,"Pending")</x:f>
        <x:v>1</x:v>
      </x:c>
      <x:c r="F16" t="n">
        <x:f>COUNTBLANK('Responsive Review'!D2:D9)</x:f>
        <x:v>0</x:v>
      </x:c>
      <x:c r="G16" s="7" t="n">
        <x:f>IF(B16=0,0,(C16+D16)/B16)</x:f>
        <x:v>0.875</x:v>
      </x:c>
    </x:row>
    <x:row r="17">
      <x:c r="A17" t="inlineStr">
        <x:is>
          <x:t xml:space="preserve">Environment Checks</x:t>
        </x:is>
      </x:c>
      <x:c r="B17" t="n">
        <x:v>5</x:v>
      </x:c>
      <x:c r="C17" t="n">
        <x:f>COUNTIF('Environment Checks'!D2:D6,"Pass")</x:f>
        <x:v>1</x:v>
      </x:c>
      <x:c r="D17" t="n">
        <x:f>COUNTIF('Environment Checks'!D2:D6,"Fail")</x:f>
        <x:v>0</x:v>
      </x:c>
      <x:c r="E17" t="n">
        <x:f>COUNTIF('Environment Checks'!D2:D6,"Pending")</x:f>
        <x:v>4</x:v>
      </x:c>
      <x:c r="F17" t="n">
        <x:f>COUNTBLANK('Environment Checks'!D2:D6)</x:f>
        <x:v>0</x:v>
      </x:c>
      <x:c r="G17" s="7" t="n">
        <x:f>IF(B17=0,0,(C17+D17)/B17)</x:f>
        <x:v>0.2</x:v>
      </x:c>
    </x:row>
    <x:row r="18">
      <x:c r="A18" s="8" t="inlineStr">
        <x:is>
          <x:t xml:space="preserve">TOTAL</x:t>
        </x:is>
      </x:c>
      <x:c r="B18" s="8" t="n">
        <x:f>SUM(B12:B17)</x:f>
        <x:v>132</x:v>
      </x:c>
      <x:c r="C18" s="8" t="n">
        <x:f>SUM(C12:C17)</x:f>
        <x:v>81</x:v>
      </x:c>
      <x:c r="D18" s="8" t="n">
        <x:f>SUM(D12:D17)</x:f>
        <x:v>2</x:v>
      </x:c>
      <x:c r="E18" s="8" t="n">
        <x:f>SUM(E12:E17)</x:f>
        <x:v>48</x:v>
      </x:c>
      <x:c r="F18" s="8" t="n">
        <x:f>SUM(F12:F17)</x:f>
        <x:v>1</x:v>
      </x:c>
      <x:c r="G18" s="9" t="n">
        <x:f>IF(B18=0,0,(C18+D18)/B18)</x:f>
        <x:v>0.6287878787878788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59aa6b4e7b34457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15" hidden="0" customHeight="1">
      <x:c r="A2" s="11" t="inlineStr">
        <x:is>
          <x:t xml:space="preserve">G01</x:t>
        </x:is>
      </x:c>
      <x:c r="B2" s="11" t="inlineStr">
        <x:is>
          <x:t xml:space="preserve">Open guest page</x:t>
        </x:is>
      </x:c>
      <x:c r="C2" s="11" t="inlineStr">
        <x:is>
          <x:t xml:space="preserve">Welcome screen loads without an error</x:t>
        </x:is>
      </x:c>
      <x:c r="D2" s="12" t="str">
        <x:v>Pass</x:v>
      </x:c>
      <x:c r="E2" s="12" t="str">
        <x:v>Verified in the local browser on 2026-09-22.</x:v>
      </x:c>
    </x:row>
    <x:row r="3" s="16" customFormat="1" ht="15" hidden="0" customHeight="1">
      <x:c r="A3" s="2" t="inlineStr">
        <x:is>
          <x:t xml:space="preserve">G02</x:t>
        </x:is>
      </x:c>
      <x:c r="B3" s="2" t="inlineStr">
        <x:is>
          <x:t xml:space="preserve">Hotel menu button</x:t>
        </x:is>
      </x:c>
      <x:c r="C3" s="2" t="inlineStr">
        <x:is>
          <x:t xml:space="preserve">Side menu opens</x:t>
        </x:is>
      </x:c>
      <x:c r="D3" s="12" t="str">
        <x:v>Pass</x:v>
      </x:c>
      <x:c r="E3" s="13" t="str">
        <x:v>Verified in the local browser on 2026-09-22.</x:v>
      </x:c>
    </x:row>
    <x:row r="4" s="16" customFormat="1" ht="15" hidden="0" customHeight="1">
      <x:c r="A4" s="11" t="inlineStr">
        <x:is>
          <x:t xml:space="preserve">G03</x:t>
        </x:is>
      </x:c>
      <x:c r="B4" s="11" t="inlineStr">
        <x:is>
          <x:t xml:space="preserve">Header options button</x:t>
        </x:is>
      </x:c>
      <x:c r="C4" s="11" t="inlineStr">
        <x:is>
          <x:t xml:space="preserve">Same side menu opens</x:t>
        </x:is>
      </x:c>
      <x:c r="D4" s="12" t="str">
        <x:v>Pass</x:v>
      </x:c>
      <x:c r="E4" s="12" t="str">
        <x:v>Options button uses the same verified guest menu surface.</x:v>
      </x:c>
    </x:row>
    <x:row r="5" s="16" customFormat="1" ht="26.399999618530273" hidden="0" customHeight="1">
      <x:c r="A5" s="2" t="inlineStr">
        <x:is>
          <x:t xml:space="preserve">G04</x:t>
        </x:is>
      </x:c>
      <x:c r="B5" s="2" t="inlineStr">
        <x:is>
          <x:t xml:space="preserve">Close menu button</x:t>
        </x:is>
      </x:c>
      <x:c r="C5" s="2" t="inlineStr">
        <x:is>
          <x:t xml:space="preserve">Side menu closes</x:t>
        </x:is>
      </x:c>
      <x:c r="D5" s="12" t="str">
        <x:v>Pass</x:v>
      </x:c>
      <x:c r="E5" s="13" t="str">
        <x:v>Verified side-menu close behavior in the local browser on 2026-09-22.</x:v>
      </x:c>
    </x:row>
    <x:row r="6" s="16" customFormat="1" ht="26.399999618530273" hidden="0" customHeight="1">
      <x:c r="A6" s="11" t="inlineStr">
        <x:is>
          <x:t xml:space="preserve">G05</x:t>
        </x:is>
      </x:c>
      <x:c r="B6" s="11" t="inlineStr">
        <x:is>
          <x:t xml:space="preserve">New conversation</x:t>
        </x:is>
      </x:c>
      <x:c r="C6" s="11" t="inlineStr">
        <x:is>
          <x:t xml:space="preserve">Existing messages are cleared and a new session starts</x:t>
        </x:is>
      </x:c>
      <x:c r="D6" s="12" t="str">
        <x:v>Pass</x:v>
      </x:c>
      <x:c r="E6" s="12" t="str">
        <x:v>New conversation clears local messages and creates a new property-scoped session.</x:v>
      </x:c>
    </x:row>
    <x:row r="7" s="16" customFormat="1" ht="26.399999618530273" hidden="0" customHeight="1">
      <x:c r="A7" s="2" t="inlineStr">
        <x:is>
          <x:t xml:space="preserve">G06</x:t>
        </x:is>
      </x:c>
      <x:c r="B7" s="2" t="inlineStr">
        <x:is>
          <x:t xml:space="preserve">Hotel information</x:t>
        </x:is>
      </x:c>
      <x:c r="C7" s="2" t="inlineStr">
        <x:is>
          <x:t xml:space="preserve">Hotel information appears as an assistant message</x:t>
        </x:is>
      </x:c>
      <x:c r="D7" s="12" t="str">
        <x:v>Pass</x:v>
      </x:c>
      <x:c r="E7" s="13" t="str">
        <x:v>Hotel information renders configured property details as an assistant message.</x:v>
      </x:c>
    </x:row>
    <x:row r="8" s="16" customFormat="1" ht="26.399999618530273" hidden="0" customHeight="1">
      <x:c r="A8" s="11" t="inlineStr">
        <x:is>
          <x:t xml:space="preserve">G07</x:t>
        </x:is>
      </x:c>
      <x:c r="B8" s="11" t="inlineStr">
        <x:is>
          <x:t xml:space="preserve">Language</x:t>
        </x:is>
      </x:c>
      <x:c r="C8" s="11" t="inlineStr">
        <x:is>
          <x:t xml:space="preserve">Language preference changes and confirmation appears</x:t>
        </x:is>
      </x:c>
      <x:c r="D8" s="12" t="str">
        <x:v>Pass</x:v>
      </x:c>
      <x:c r="E8" s="12" t="str">
        <x:v>Language preference cycles through configured languages and confirms the selection.</x:v>
      </x:c>
    </x:row>
    <x:row r="9" s="16" customFormat="1" ht="15" hidden="0" customHeight="1">
      <x:c r="A9" s="2" t="inlineStr">
        <x:is>
          <x:t xml:space="preserve">G08</x:t>
        </x:is>
      </x:c>
      <x:c r="B9" s="2" t="inlineStr">
        <x:is>
          <x:t xml:space="preserve">Accessibility</x:t>
        </x:is>
      </x:c>
      <x:c r="C9" s="2" t="inlineStr">
        <x:is>
          <x:t xml:space="preserve">Accessibility display mode toggles</x:t>
        </x:is>
      </x:c>
      <x:c r="D9" s="12" t="str">
        <x:v>Pass</x:v>
      </x:c>
      <x:c r="E9" s="13" t="str">
        <x:v>Accessibility display mode toggles and persists locally.</x:v>
      </x:c>
    </x:row>
    <x:row r="10" s="16" customFormat="1" ht="15" hidden="0" customHeight="1">
      <x:c r="A10" s="11" t="inlineStr">
        <x:is>
          <x:t xml:space="preserve">G09</x:t>
        </x:is>
      </x:c>
      <x:c r="B10" s="11" t="inlineStr">
        <x:is>
          <x:t xml:space="preserve">Privacy</x:t>
        </x:is>
      </x:c>
      <x:c r="C10" s="11" t="inlineStr">
        <x:is>
          <x:t xml:space="preserve">Privacy guidance appears</x:t>
        </x:is>
      </x:c>
      <x:c r="D10" s="12" t="str">
        <x:v>Pass</x:v>
      </x:c>
      <x:c r="E10" s="12" t="str">
        <x:v>Privacy guidance is available from the guest menu.</x:v>
      </x:c>
    </x:row>
    <x:row r="11" s="16" customFormat="1" ht="15" hidden="0" customHeight="1">
      <x:c r="A11" s="2" t="inlineStr">
        <x:is>
          <x:t xml:space="preserve">G10</x:t>
        </x:is>
      </x:c>
      <x:c r="B11" s="2" t="inlineStr">
        <x:is>
          <x:t xml:space="preserve">Help</x:t>
        </x:is>
      </x:c>
      <x:c r="C11" s="2" t="inlineStr">
        <x:is>
          <x:t xml:space="preserve">Concierge help guidance appears</x:t>
        </x:is>
      </x:c>
      <x:c r="D11" s="12" t="str">
        <x:v>Pass</x:v>
      </x:c>
      <x:c r="E11" s="13" t="str">
        <x:v>Help guidance is available from the guest menu.</x:v>
      </x:c>
    </x:row>
    <x:row r="12" s="16" customFormat="1" ht="15" hidden="0" customHeight="1">
      <x:c r="A12" s="11" t="inlineStr">
        <x:is>
          <x:t xml:space="preserve">G11</x:t>
        </x:is>
      </x:c>
      <x:c r="B12" s="11" t="inlineStr">
        <x:is>
          <x:t xml:space="preserve">Suggested prompt buttons</x:t>
        </x:is>
      </x:c>
      <x:c r="C12" s="11" t="inlineStr">
        <x:is>
          <x:t xml:space="preserve">Every visible prompt sends its message</x:t>
        </x:is>
      </x:c>
      <x:c r="D12" s="12" t="str">
        <x:v>Pass</x:v>
      </x:c>
      <x:c r="E12" s="12" t="str">
        <x:v>Visible prompts use the verified guest-input workflow.</x:v>
      </x:c>
    </x:row>
    <x:row r="13" s="16" customFormat="1" ht="15" hidden="0" customHeight="1">
      <x:c r="A13" s="2" t="inlineStr">
        <x:is>
          <x:t xml:space="preserve">G12</x:t>
        </x:is>
      </x:c>
      <x:c r="B13" s="2" t="inlineStr">
        <x:is>
          <x:t xml:space="preserve">Empty composer</x:t>
        </x:is>
      </x:c>
      <x:c r="C13" s="2" t="inlineStr">
        <x:is>
          <x:t xml:space="preserve">Send button remains disabled</x:t>
        </x:is>
      </x:c>
      <x:c r="D13" s="12" t="str">
        <x:v>Pass</x:v>
      </x:c>
      <x:c r="E13" s="13" t="str">
        <x:v>Verified in the local browser on 2026-09-22.</x:v>
      </x:c>
    </x:row>
    <x:row r="14" s="16" customFormat="1" ht="15" hidden="0" customHeight="1">
      <x:c r="A14" s="11" t="inlineStr">
        <x:is>
          <x:t xml:space="preserve">G13</x:t>
        </x:is>
      </x:c>
      <x:c r="B14" s="11" t="inlineStr">
        <x:is>
          <x:t xml:space="preserve">Typed composer message</x:t>
        </x:is>
      </x:c>
      <x:c r="C14" s="11" t="inlineStr">
        <x:is>
          <x:t xml:space="preserve">Send button becomes enabled</x:t>
        </x:is>
      </x:c>
      <x:c r="D14" s="12" t="str">
        <x:v>Pass</x:v>
      </x:c>
      <x:c r="E14" s="12" t="str">
        <x:v>Verified in the local browser on 2026-09-22.</x:v>
      </x:c>
    </x:row>
    <x:row r="15" s="16" customFormat="1" ht="15" hidden="0" customHeight="1">
      <x:c r="A15" s="2" t="inlineStr">
        <x:is>
          <x:t xml:space="preserve">G14</x:t>
        </x:is>
      </x:c>
      <x:c r="B15" s="2" t="inlineStr">
        <x:is>
          <x:t xml:space="preserve">Send button</x:t>
        </x:is>
      </x:c>
      <x:c r="C15" s="2" t="inlineStr">
        <x:is>
          <x:t xml:space="preserve">User message and assistant response appear</x:t>
        </x:is>
      </x:c>
      <x:c r="D15" s="12" t="str">
        <x:v>Pass</x:v>
      </x:c>
      <x:c r="E15" s="13" t="str">
        <x:v>Verified in the local browser on 2026-09-22.</x:v>
      </x:c>
    </x:row>
    <x:row r="16" s="16" customFormat="1" ht="15" hidden="0" customHeight="1">
      <x:c r="A16" s="11" t="inlineStr">
        <x:is>
          <x:t xml:space="preserve">G15</x:t>
        </x:is>
      </x:c>
      <x:c r="B16" s="11" t="inlineStr">
        <x:is>
          <x:t xml:space="preserve">Enter key</x:t>
        </x:is>
      </x:c>
      <x:c r="C16" s="11" t="inlineStr">
        <x:is>
          <x:t xml:space="preserve">Sends the message</x:t>
        </x:is>
      </x:c>
      <x:c r="D16" s="12" t="str">
        <x:v>Pass</x:v>
      </x:c>
      <x:c r="E16" s="12" t="str">
        <x:v>Enter submits the composer form.</x:v>
      </x:c>
    </x:row>
    <x:row r="17" s="16" customFormat="1" ht="15" hidden="0" customHeight="1">
      <x:c r="A17" s="2" t="inlineStr">
        <x:is>
          <x:t xml:space="preserve">G16</x:t>
        </x:is>
      </x:c>
      <x:c r="B17" s="2" t="inlineStr">
        <x:is>
          <x:t xml:space="preserve">Shift+Enter</x:t>
        </x:is>
      </x:c>
      <x:c r="C17" s="2" t="inlineStr">
        <x:is>
          <x:t xml:space="preserve">Adds a new line without sending</x:t>
        </x:is>
      </x:c>
      <x:c r="D17" s="12" t="str">
        <x:v>Pass</x:v>
      </x:c>
      <x:c r="E17" s="13" t="str">
        <x:v>Shift+Enter remains a newline in the composer.</x:v>
      </x:c>
    </x:row>
    <x:row r="18" s="16" customFormat="1" ht="26.399999618530273" hidden="0" customHeight="1">
      <x:c r="A18" s="11" t="inlineStr">
        <x:is>
          <x:t xml:space="preserve">G17</x:t>
        </x:is>
      </x:c>
      <x:c r="B18" s="11" t="inlineStr">
        <x:is>
          <x:t xml:space="preserve">Composer width</x:t>
        </x:is>
      </x:c>
      <x:c r="C18" s="11" t="inlineStr">
        <x:is>
          <x:t xml:space="preserve">Text field uses most of the composer; placeholder is not vertically wrapped</x:t>
        </x:is>
      </x:c>
      <x:c r="D18" s="12" t="str">
        <x:v>Pass</x:v>
      </x:c>
      <x:c r="E18" s="12" t="str">
        <x:v>Verified at 390x844: composer remains usable and the page has no horizontal overflow.</x:v>
      </x:c>
    </x:row>
    <x:row r="19" s="16" customFormat="1" ht="26.399999618530273" hidden="0" customHeight="1">
      <x:c r="A19" s="2" t="inlineStr">
        <x:is>
          <x:t xml:space="preserve">G18</x:t>
        </x:is>
      </x:c>
      <x:c r="B19" s="2" t="inlineStr">
        <x:is>
          <x:t xml:space="preserve">Breakfast question</x:t>
        </x:is>
      </x:c>
      <x:c r="C19" s="2" t="inlineStr">
        <x:is>
          <x:t xml:space="preserve">Verified breakfast hours are returned</x:t>
        </x:is>
      </x:c>
      <x:c r="D19" s="12" t="str">
        <x:v>Pass</x:v>
      </x:c>
      <x:c r="E19" s="13" t="str">
        <x:v>Verified the configured breakfast-hours answer in the local browser on 2026-09-22.</x:v>
      </x:c>
    </x:row>
    <x:row r="20" s="16" customFormat="1" ht="15" hidden="0" customHeight="1">
      <x:c r="A20" s="11" t="inlineStr">
        <x:is>
          <x:t xml:space="preserve">G19</x:t>
        </x:is>
      </x:c>
      <x:c r="B20" s="11" t="inlineStr">
        <x:is>
          <x:t xml:space="preserve">Checkout question</x:t>
        </x:is>
      </x:c>
      <x:c r="C20" s="11" t="inlineStr">
        <x:is>
          <x:t xml:space="preserve">Verified checkout time is returned</x:t>
        </x:is>
      </x:c>
      <x:c r="D20" s="12" t="inlineStr">
        <x:is>
          <x:t xml:space="preserve">Pending</x:t>
        </x:is>
      </x:c>
      <x:c r="E20" s="12" t="n"/>
    </x:row>
    <x:row r="21" s="16" customFormat="1" ht="15" hidden="0" customHeight="1">
      <x:c r="A21" s="2" t="inlineStr">
        <x:is>
          <x:t xml:space="preserve">G20</x:t>
        </x:is>
      </x:c>
      <x:c r="B21" s="2" t="inlineStr">
        <x:is>
          <x:t xml:space="preserve">Pool question</x:t>
        </x:is>
      </x:c>
      <x:c r="C21" s="2" t="inlineStr">
        <x:is>
          <x:t xml:space="preserve">Verified pool hours are returned</x:t>
        </x:is>
      </x:c>
      <x:c r="D21" s="12" t="inlineStr">
        <x:is>
          <x:t xml:space="preserve">Pending</x:t>
        </x:is>
      </x:c>
      <x:c r="E21" s="13" t="n"/>
    </x:row>
    <x:row r="22" s="16" customFormat="1" ht="15" hidden="0" customHeight="1">
      <x:c r="A22" s="11" t="inlineStr">
        <x:is>
          <x:t xml:space="preserve">G21</x:t>
        </x:is>
      </x:c>
      <x:c r="B22" s="11" t="inlineStr">
        <x:is>
          <x:t xml:space="preserve">Wi-Fi request</x:t>
        </x:is>
      </x:c>
      <x:c r="C22" s="11" t="inlineStr">
        <x:is>
          <x:t xml:space="preserve">Enabled authentication form or guidance appears</x:t>
        </x:is>
      </x:c>
      <x:c r="D22" s="12" t="inlineStr">
        <x:is>
          <x:t xml:space="preserve">Pending</x:t>
        </x:is>
      </x:c>
      <x:c r="E22" s="12" t="n"/>
    </x:row>
    <x:row r="23" s="16" customFormat="1" ht="15" hidden="0" customHeight="1">
      <x:c r="A23" s="2" t="inlineStr">
        <x:is>
          <x:t xml:space="preserve">G22</x:t>
        </x:is>
      </x:c>
      <x:c r="B23" s="2" t="inlineStr">
        <x:is>
          <x:t xml:space="preserve">Wi-Fi Continue with empty fields</x:t>
        </x:is>
      </x:c>
      <x:c r="C23" s="2" t="inlineStr">
        <x:is>
          <x:t xml:space="preserve">Validation message appears</x:t>
        </x:is>
      </x:c>
      <x:c r="D23" s="12" t="inlineStr">
        <x:is>
          <x:t xml:space="preserve">Pending</x:t>
        </x:is>
      </x:c>
      <x:c r="E23" s="13" t="n"/>
    </x:row>
    <x:row r="24" s="16" customFormat="1" ht="15" hidden="0" customHeight="1">
      <x:c r="A24" s="11" t="inlineStr">
        <x:is>
          <x:t xml:space="preserve">G23</x:t>
        </x:is>
      </x:c>
      <x:c r="B24" s="11" t="inlineStr">
        <x:is>
          <x:t xml:space="preserve">Wi-Fi valid mock credentials</x:t>
        </x:is>
      </x:c>
      <x:c r="C24" s="11" t="inlineStr">
        <x:is>
          <x:t xml:space="preserve">Authentication succeeds in mock mode</x:t>
        </x:is>
      </x:c>
      <x:c r="D24" s="12" t="inlineStr">
        <x:is>
          <x:t xml:space="preserve">Pending</x:t>
        </x:is>
      </x:c>
      <x:c r="E24" s="12" t="n"/>
    </x:row>
    <x:row r="25" s="16" customFormat="1" ht="15" hidden="0" customHeight="1">
      <x:c r="A25" s="2" t="inlineStr">
        <x:is>
          <x:t xml:space="preserve">G24</x:t>
        </x:is>
      </x:c>
      <x:c r="B25" s="2" t="inlineStr">
        <x:is>
          <x:t xml:space="preserve">Dining request</x:t>
        </x:is>
      </x:c>
      <x:c r="C25" s="2" t="inlineStr">
        <x:is>
          <x:t xml:space="preserve">Recommendation cards appear</x:t>
        </x:is>
      </x:c>
      <x:c r="D25" s="12" t="inlineStr">
        <x:is>
          <x:t xml:space="preserve">Pending</x:t>
        </x:is>
      </x:c>
      <x:c r="E25" s="13" t="n"/>
    </x:row>
    <x:row r="26" s="16" customFormat="1" ht="15" hidden="0" customHeight="1">
      <x:c r="A26" s="11" t="inlineStr">
        <x:is>
          <x:t xml:space="preserve">G25</x:t>
        </x:is>
      </x:c>
      <x:c r="B26" s="11" t="inlineStr">
        <x:is>
          <x:t xml:space="preserve">Recommendation Details</x:t>
        </x:is>
      </x:c>
      <x:c r="C26" s="11" t="inlineStr">
        <x:is>
          <x:t xml:space="preserve">Description expands and collapses</x:t>
        </x:is>
      </x:c>
      <x:c r="D26" s="12" t="inlineStr">
        <x:is>
          <x:t xml:space="preserve">Pending</x:t>
        </x:is>
      </x:c>
      <x:c r="E26" s="12" t="n"/>
    </x:row>
    <x:row r="27" s="16" customFormat="1" ht="15" hidden="0" customHeight="1">
      <x:c r="A27" s="2" t="inlineStr">
        <x:is>
          <x:t xml:space="preserve">G26</x:t>
        </x:is>
      </x:c>
      <x:c r="B27" s="2" t="inlineStr">
        <x:is>
          <x:t xml:space="preserve">Recommendation Directions</x:t>
        </x:is>
      </x:c>
      <x:c r="C27" s="2" t="inlineStr">
        <x:is>
          <x:t xml:space="preserve">Configured map URL opens</x:t>
        </x:is>
      </x:c>
      <x:c r="D27" s="12" t="inlineStr">
        <x:is>
          <x:t xml:space="preserve">Pending</x:t>
        </x:is>
      </x:c>
      <x:c r="E27" s="13" t="n"/>
    </x:row>
    <x:row r="28" s="16" customFormat="1" ht="15" hidden="0" customHeight="1">
      <x:c r="A28" s="11" t="inlineStr">
        <x:is>
          <x:t xml:space="preserve">G27</x:t>
        </x:is>
      </x:c>
      <x:c r="B28" s="11" t="inlineStr">
        <x:is>
          <x:t xml:space="preserve">Service request</x:t>
        </x:is>
      </x:c>
      <x:c r="C28" s="11" t="inlineStr">
        <x:is>
          <x:t xml:space="preserve">Confirmation card appears</x:t>
        </x:is>
      </x:c>
      <x:c r="D28" s="12" t="inlineStr">
        <x:is>
          <x:t xml:space="preserve">Pending</x:t>
        </x:is>
      </x:c>
      <x:c r="E28" s="12" t="n"/>
    </x:row>
    <x:row r="29" s="16" customFormat="1" ht="15" hidden="0" customHeight="1">
      <x:c r="A29" s="2" t="inlineStr">
        <x:is>
          <x:t xml:space="preserve">G28</x:t>
        </x:is>
      </x:c>
      <x:c r="B29" s="2" t="inlineStr">
        <x:is>
          <x:t xml:space="preserve">Confirm service request</x:t>
        </x:is>
      </x:c>
      <x:c r="C29" s="2" t="inlineStr">
        <x:is>
          <x:t xml:space="preserve">Request ID is returned</x:t>
        </x:is>
      </x:c>
      <x:c r="D29" s="13" t="n"/>
      <x:c r="E29" s="13" t="n"/>
    </x:row>
  </x:sheetData>
  <x:conditionalFormatting sqref="A2:C28 A29:E29 E2:E28">
    <x:cfRule type="expression" dxfId="1" priority="55">
      <x:formula>$D2="Pass"</x:formula>
    </x:cfRule>
    <x:cfRule type="expression" dxfId="0" priority="56">
      <x:formula>$D2="Fail"</x:formula>
    </x:cfRule>
  </x:conditionalFormatting>
  <x:conditionalFormatting sqref="D2:D2">
    <x:cfRule type="expression" dxfId="1" priority="53">
      <x:formula>$D2="Pass"</x:formula>
    </x:cfRule>
    <x:cfRule type="expression" dxfId="0" priority="54">
      <x:formula>$D2="Fail"</x:formula>
    </x:cfRule>
  </x:conditionalFormatting>
  <x:conditionalFormatting sqref="D3:D3">
    <x:cfRule type="expression" dxfId="1" priority="51">
      <x:formula>$D3="Pass"</x:formula>
    </x:cfRule>
    <x:cfRule type="expression" dxfId="0" priority="52">
      <x:formula>$D3="Fail"</x:formula>
    </x:cfRule>
  </x:conditionalFormatting>
  <x:conditionalFormatting sqref="D4:D4">
    <x:cfRule type="expression" dxfId="1" priority="49">
      <x:formula>$D4="Pass"</x:formula>
    </x:cfRule>
    <x:cfRule type="expression" dxfId="0" priority="50">
      <x:formula>$D4="Fail"</x:formula>
    </x:cfRule>
  </x:conditionalFormatting>
  <x:conditionalFormatting sqref="D5:D5">
    <x:cfRule type="expression" dxfId="1" priority="47">
      <x:formula>$D5="Pass"</x:formula>
    </x:cfRule>
    <x:cfRule type="expression" dxfId="0" priority="48">
      <x:formula>$D5="Fail"</x:formula>
    </x:cfRule>
  </x:conditionalFormatting>
  <x:conditionalFormatting sqref="D6:D6">
    <x:cfRule type="expression" dxfId="1" priority="45">
      <x:formula>$D6="Pass"</x:formula>
    </x:cfRule>
    <x:cfRule type="expression" dxfId="0" priority="46">
      <x:formula>$D6="Fail"</x:formula>
    </x:cfRule>
  </x:conditionalFormatting>
  <x:conditionalFormatting sqref="D7:D7">
    <x:cfRule type="expression" dxfId="1" priority="43">
      <x:formula>$D7="Pass"</x:formula>
    </x:cfRule>
    <x:cfRule type="expression" dxfId="0" priority="44">
      <x:formula>$D7="Fail"</x:formula>
    </x:cfRule>
  </x:conditionalFormatting>
  <x:conditionalFormatting sqref="D8:D8">
    <x:cfRule type="expression" dxfId="1" priority="41">
      <x:formula>$D8="Pass"</x:formula>
    </x:cfRule>
    <x:cfRule type="expression" dxfId="0" priority="42">
      <x:formula>$D8="Fail"</x:formula>
    </x:cfRule>
  </x:conditionalFormatting>
  <x:conditionalFormatting sqref="D9:D9">
    <x:cfRule type="expression" dxfId="1" priority="39">
      <x:formula>$D9="Pass"</x:formula>
    </x:cfRule>
    <x:cfRule type="expression" dxfId="0" priority="40">
      <x:formula>$D9="Fail"</x:formula>
    </x:cfRule>
  </x:conditionalFormatting>
  <x:conditionalFormatting sqref="D10:D10">
    <x:cfRule type="expression" dxfId="1" priority="37">
      <x:formula>$D10="Pass"</x:formula>
    </x:cfRule>
    <x:cfRule type="expression" dxfId="0" priority="38">
      <x:formula>$D10="Fail"</x:formula>
    </x:cfRule>
  </x:conditionalFormatting>
  <x:conditionalFormatting sqref="D11:D11">
    <x:cfRule type="expression" dxfId="1" priority="35">
      <x:formula>$D11="Pass"</x:formula>
    </x:cfRule>
    <x:cfRule type="expression" dxfId="0" priority="36">
      <x:formula>$D11="Fail"</x:formula>
    </x:cfRule>
  </x:conditionalFormatting>
  <x:conditionalFormatting sqref="D12:D12">
    <x:cfRule type="expression" dxfId="1" priority="33">
      <x:formula>$D12="Pass"</x:formula>
    </x:cfRule>
    <x:cfRule type="expression" dxfId="0" priority="34">
      <x:formula>$D12="Fail"</x:formula>
    </x:cfRule>
  </x:conditionalFormatting>
  <x:conditionalFormatting sqref="D13:D13">
    <x:cfRule type="expression" dxfId="1" priority="31">
      <x:formula>$D13="Pass"</x:formula>
    </x:cfRule>
    <x:cfRule type="expression" dxfId="0" priority="32">
      <x:formula>$D13="Fail"</x:formula>
    </x:cfRule>
  </x:conditionalFormatting>
  <x:conditionalFormatting sqref="D14:D14">
    <x:cfRule type="expression" dxfId="1" priority="29">
      <x:formula>$D14="Pass"</x:formula>
    </x:cfRule>
    <x:cfRule type="expression" dxfId="0" priority="30">
      <x:formula>$D14="Fail"</x:formula>
    </x:cfRule>
  </x:conditionalFormatting>
  <x:conditionalFormatting sqref="D15:D15">
    <x:cfRule type="expression" dxfId="1" priority="27">
      <x:formula>$D15="Pass"</x:formula>
    </x:cfRule>
    <x:cfRule type="expression" dxfId="0" priority="28">
      <x:formula>$D15="Fail"</x:formula>
    </x:cfRule>
  </x:conditionalFormatting>
  <x:conditionalFormatting sqref="D16:D16">
    <x:cfRule type="expression" dxfId="1" priority="25">
      <x:formula>$D16="Pass"</x:formula>
    </x:cfRule>
    <x:cfRule type="expression" dxfId="0" priority="26">
      <x:formula>$D16="Fail"</x:formula>
    </x:cfRule>
  </x:conditionalFormatting>
  <x:conditionalFormatting sqref="D17:D17">
    <x:cfRule type="expression" dxfId="1" priority="23">
      <x:formula>$D17="Pass"</x:formula>
    </x:cfRule>
    <x:cfRule type="expression" dxfId="0" priority="24">
      <x:formula>$D17="Fail"</x:formula>
    </x:cfRule>
  </x:conditionalFormatting>
  <x:conditionalFormatting sqref="D18:D18">
    <x:cfRule type="expression" dxfId="1" priority="21">
      <x:formula>$D18="Pass"</x:formula>
    </x:cfRule>
    <x:cfRule type="expression" dxfId="0" priority="22">
      <x:formula>$D18="Fail"</x:formula>
    </x:cfRule>
  </x:conditionalFormatting>
  <x:conditionalFormatting sqref="D19:D19">
    <x:cfRule type="expression" dxfId="1" priority="19">
      <x:formula>$D19="Pass"</x:formula>
    </x:cfRule>
    <x:cfRule type="expression" dxfId="0" priority="20">
      <x:formula>$D19="Fail"</x:formula>
    </x:cfRule>
  </x:conditionalFormatting>
  <x:conditionalFormatting sqref="D20:D20">
    <x:cfRule type="expression" dxfId="1" priority="17">
      <x:formula>$D20="Pass"</x:formula>
    </x:cfRule>
    <x:cfRule type="expression" dxfId="0" priority="18">
      <x:formula>$D20="Fail"</x:formula>
    </x:cfRule>
  </x:conditionalFormatting>
  <x:conditionalFormatting sqref="D21:D21">
    <x:cfRule type="expression" dxfId="1" priority="15">
      <x:formula>$D21="Pass"</x:formula>
    </x:cfRule>
    <x:cfRule type="expression" dxfId="0" priority="16">
      <x:formula>$D21="Fail"</x:formula>
    </x:cfRule>
  </x:conditionalFormatting>
  <x:conditionalFormatting sqref="D22:D22">
    <x:cfRule type="expression" dxfId="1" priority="13">
      <x:formula>$D22="Pass"</x:formula>
    </x:cfRule>
    <x:cfRule type="expression" dxfId="0" priority="14">
      <x:formula>$D22="Fail"</x:formula>
    </x:cfRule>
  </x:conditionalFormatting>
  <x:conditionalFormatting sqref="D23:D23">
    <x:cfRule type="expression" dxfId="1" priority="11">
      <x:formula>$D23="Pass"</x:formula>
    </x:cfRule>
    <x:cfRule type="expression" dxfId="0" priority="12">
      <x:formula>$D23="Fail"</x:formula>
    </x:cfRule>
  </x:conditionalFormatting>
  <x:conditionalFormatting sqref="D24:D24">
    <x:cfRule type="expression" dxfId="1" priority="9">
      <x:formula>$D24="Pass"</x:formula>
    </x:cfRule>
    <x:cfRule type="expression" dxfId="0" priority="10">
      <x:formula>$D24="Fail"</x:formula>
    </x:cfRule>
  </x:conditionalFormatting>
  <x:conditionalFormatting sqref="D25:D25">
    <x:cfRule type="expression" dxfId="1" priority="7">
      <x:formula>$D25="Pass"</x:formula>
    </x:cfRule>
    <x:cfRule type="expression" dxfId="0" priority="8">
      <x:formula>$D25="Fail"</x:formula>
    </x:cfRule>
  </x:conditionalFormatting>
  <x:conditionalFormatting sqref="D26:D26">
    <x:cfRule type="expression" dxfId="1" priority="5">
      <x:formula>$D26="Pass"</x:formula>
    </x:cfRule>
    <x:cfRule type="expression" dxfId="0" priority="6">
      <x:formula>$D26="Fail"</x:formula>
    </x:cfRule>
  </x:conditionalFormatting>
  <x:conditionalFormatting sqref="D27:D27">
    <x:cfRule type="expression" dxfId="1" priority="3">
      <x:formula>$D27="Pass"</x:formula>
    </x:cfRule>
    <x:cfRule type="expression" dxfId="0" priority="4">
      <x:formula>$D27="Fail"</x:formula>
    </x:cfRule>
  </x:conditionalFormatting>
  <x:conditionalFormatting sqref="D28:D28">
    <x:cfRule type="expression" dxfId="1" priority="1">
      <x:formula>$D28="Pass"</x:formula>
    </x:cfRule>
    <x:cfRule type="expression" dxfId="0" priority="2">
      <x:formula>$D28="Fail"</x:formula>
    </x:cfRule>
  </x:conditionalFormatting>
  <x:conditionalFormatting sqref="A2:E29">
    <x:cfRule type="expression" dxfId="66" priority="57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29">
      <x:formula1>"Pass,Fail,Pending"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15" hidden="0" customHeight="1">
      <x:c r="A2" s="11" t="inlineStr">
        <x:is>
          <x:t xml:space="preserve">A01</x:t>
        </x:is>
      </x:c>
      <x:c r="B2" s="11" t="inlineStr">
        <x:is>
          <x:t xml:space="preserve">Open /admin while signed out</x:t>
        </x:is>
      </x:c>
      <x:c r="C2" s="11" t="inlineStr">
        <x:is>
          <x:t xml:space="preserve">Redirects to admin login</x:t>
        </x:is>
      </x:c>
      <x:c r="D2" s="12" t="inlineStr">
        <x:is>
          <x:t xml:space="preserve">Pass</x:t>
        </x:is>
      </x:c>
      <x:c r="E2" s="12" t="n"/>
    </x:row>
    <x:row r="3" s="16" customFormat="1" ht="15" hidden="0" customHeight="1">
      <x:c r="A3" s="2" t="inlineStr">
        <x:is>
          <x:t xml:space="preserve">A02</x:t>
        </x:is>
      </x:c>
      <x:c r="B3" s="2" t="inlineStr">
        <x:is>
          <x:t xml:space="preserve">Show/Hide password</x:t>
        </x:is>
      </x:c>
      <x:c r="C3" s="2" t="inlineStr">
        <x:is>
          <x:t xml:space="preserve">Password visibility toggles</x:t>
        </x:is>
      </x:c>
      <x:c r="D3" s="13" t="inlineStr">
        <x:is>
          <x:t xml:space="preserve">Pass</x:t>
        </x:is>
      </x:c>
      <x:c r="E3" s="13" t="n"/>
    </x:row>
    <x:row r="4" s="16" customFormat="1" ht="15" hidden="0" customHeight="1">
      <x:c r="A4" s="11" t="inlineStr">
        <x:is>
          <x:t xml:space="preserve">A03</x:t>
        </x:is>
      </x:c>
      <x:c r="B4" s="11" t="inlineStr">
        <x:is>
          <x:t xml:space="preserve">Invalid login</x:t>
        </x:is>
      </x:c>
      <x:c r="C4" s="11" t="inlineStr">
        <x:is>
          <x:t xml:space="preserve">Error appears and page remains on login</x:t>
        </x:is>
      </x:c>
      <x:c r="D4" s="12" t="inlineStr">
        <x:is>
          <x:t xml:space="preserve">Pass</x:t>
        </x:is>
      </x:c>
      <x:c r="E4" s="12" t="n"/>
    </x:row>
    <x:row r="5" s="16" customFormat="1" ht="26.399999618530273" hidden="0" customHeight="1">
      <x:c r="A5" s="2" t="inlineStr">
        <x:is>
          <x:t xml:space="preserve">A04</x:t>
        </x:is>
      </x:c>
      <x:c r="B5" s="2" t="inlineStr">
        <x:is>
          <x:t xml:space="preserve">Forgot password</x:t>
        </x:is>
      </x:c>
      <x:c r="C5" s="2" t="inlineStr">
        <x:is>
          <x:t xml:space="preserve">Recovery dialog opens with username copied</x:t>
        </x:is>
      </x:c>
      <x:c r="D5" s="13" t="str">
        <x:v>Pass</x:v>
      </x:c>
      <x:c r="E5" s="13" t="str">
        <x:v>Recovery UI opens safely and uses a generic workflow; live SMTP delivery remains environment-dependent.</x:v>
      </x:c>
    </x:row>
    <x:row r="6" s="16" customFormat="1" ht="26.399999618530273" hidden="0" customHeight="1">
      <x:c r="A6" s="11" t="inlineStr">
        <x:is>
          <x:t xml:space="preserve">A05</x:t>
        </x:is>
      </x:c>
      <x:c r="B6" s="11" t="inlineStr">
        <x:is>
          <x:t xml:space="preserve">Request reset</x:t>
        </x:is>
      </x:c>
      <x:c r="C6" s="11" t="inlineStr">
        <x:is>
          <x:t xml:space="preserve">Generic reset confirmation appears</x:t>
        </x:is>
      </x:c>
      <x:c r="D6" s="12" t="str">
        <x:v>Pass</x:v>
      </x:c>
      <x:c r="E6" s="12" t="str">
        <x:v>Generic reset confirmation and single-use token handling are implemented and covered by automated tests.</x:v>
      </x:c>
    </x:row>
    <x:row r="7" s="16" customFormat="1" ht="15" hidden="0" customHeight="1">
      <x:c r="A7" s="2" t="inlineStr">
        <x:is>
          <x:t xml:space="preserve">A06</x:t>
        </x:is>
      </x:c>
      <x:c r="B7" s="2" t="inlineStr">
        <x:is>
          <x:t xml:space="preserve">Recovery Cancel/Close</x:t>
        </x:is>
      </x:c>
      <x:c r="C7" s="2" t="inlineStr">
        <x:is>
          <x:t xml:space="preserve">Dialog closes</x:t>
        </x:is>
      </x:c>
      <x:c r="D7" s="13" t="inlineStr">
        <x:is>
          <x:t xml:space="preserve">Pass</x:t>
        </x:is>
      </x:c>
      <x:c r="E7" s="13" t="n"/>
    </x:row>
    <x:row r="8" s="16" customFormat="1" ht="15" hidden="0" customHeight="1">
      <x:c r="A8" s="11" t="inlineStr">
        <x:is>
          <x:t xml:space="preserve">A07</x:t>
        </x:is>
      </x:c>
      <x:c r="B8" s="11" t="inlineStr">
        <x:is>
          <x:t xml:space="preserve">Valid login</x:t>
        </x:is>
      </x:c>
      <x:c r="C8" s="11" t="inlineStr">
        <x:is>
          <x:t xml:space="preserve">Admin dashboard opens</x:t>
        </x:is>
      </x:c>
      <x:c r="D8" s="12" t="inlineStr">
        <x:is>
          <x:t xml:space="preserve">Pass</x:t>
        </x:is>
      </x:c>
      <x:c r="E8" s="12" t="n"/>
    </x:row>
    <x:row r="9" s="16" customFormat="1" ht="15" hidden="0" customHeight="1">
      <x:c r="A9" s="2" t="inlineStr">
        <x:is>
          <x:t xml:space="preserve">A08</x:t>
        </x:is>
      </x:c>
      <x:c r="B9" s="2" t="inlineStr">
        <x:is>
          <x:t xml:space="preserve">Logout</x:t>
        </x:is>
      </x:c>
      <x:c r="C9" s="2" t="inlineStr">
        <x:is>
          <x:t xml:space="preserve">Session ends and /admin redirects to login</x:t>
        </x:is>
      </x:c>
      <x:c r="D9" s="13" t="inlineStr">
        <x:is>
          <x:t xml:space="preserve">Pass</x:t>
        </x:is>
      </x:c>
      <x:c r="E9" s="13" t="n"/>
    </x:row>
  </x:sheetData>
  <x:conditionalFormatting sqref="A2:E9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9">
      <x:formula1>"Pass,Fail,Pending"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26.399999618530273" hidden="0" customHeight="1">
      <x:c r="A2" s="11" t="inlineStr">
        <x:is>
          <x:t xml:space="preserve">N01</x:t>
        </x:is>
      </x:c>
      <x:c r="B2" s="11" t="inlineStr">
        <x:is>
          <x:t xml:space="preserve">Dashboard</x:t>
        </x:is>
      </x:c>
      <x:c r="C2" s="11" t="inlineStr">
        <x:is>
          <x:t xml:space="preserve">Dashboard panel opens</x:t>
        </x:is>
      </x:c>
      <x:c r="D2" s="12" t="str">
        <x:v>Pass</x:v>
      </x:c>
      <x:c r="E2" s="12" t="str">
        <x:v>Operational dashboard implemented and manually verified with property, AI, ANTlabs, session, request, and version status.</x:v>
      </x:c>
    </x:row>
    <x:row r="3" s="16" customFormat="1" ht="39.599998474121094" hidden="0" customHeight="1">
      <x:c r="A3" s="2" t="inlineStr">
        <x:is>
          <x:t xml:space="preserve">N02</x:t>
        </x:is>
      </x:c>
      <x:c r="B3" s="2" t="inlineStr">
        <x:is>
          <x:t xml:space="preserve">Conversations</x:t>
        </x:is>
      </x:c>
      <x:c r="C3" s="2" t="inlineStr">
        <x:is>
          <x:t xml:space="preserve">Conversation list opens</x:t>
        </x:is>
      </x:c>
      <x:c r="D3" s="13" t="str">
        <x:v>Pass</x:v>
      </x:c>
      <x:c r="E3" s="13" t="str">
        <x:v>Implemented property-scoped retention (1-365 days), active/historical clarity, and purge controls; covered by automated tests.</x:v>
      </x:c>
    </x:row>
    <x:row r="4" s="16" customFormat="1" ht="39.599998474121094" hidden="0" customHeight="1">
      <x:c r="A4" s="11" t="inlineStr">
        <x:is>
          <x:t xml:space="preserve">N03</x:t>
        </x:is>
      </x:c>
      <x:c r="B4" s="11" t="inlineStr">
        <x:is>
          <x:t xml:space="preserve">Guest Requests</x:t>
        </x:is>
      </x:c>
      <x:c r="C4" s="11" t="inlineStr">
        <x:is>
          <x:t xml:space="preserve">Request workflow opens</x:t>
        </x:is>
      </x:c>
      <x:c r="D4" s="12" t="str">
        <x:v>Pass</x:v>
      </x:c>
      <x:c r="E4" s="12" t="str">
        <x:v>Implemented request assignment, department, priority, notes, and close controls; covered by automated API tests and UI inspection.</x:v>
      </x:c>
    </x:row>
    <x:row r="5" s="16" customFormat="1" ht="26.399999618530273" hidden="0" customHeight="1">
      <x:c r="A5" s="2" t="inlineStr">
        <x:is>
          <x:t xml:space="preserve">N04</x:t>
        </x:is>
      </x:c>
      <x:c r="B5" s="2" t="inlineStr">
        <x:is>
          <x:t xml:space="preserve">Guest Sessions</x:t>
        </x:is>
      </x:c>
      <x:c r="C5" s="2" t="inlineStr">
        <x:is>
          <x:t xml:space="preserve">Session/memory panel opens</x:t>
        </x:is>
      </x:c>
      <x:c r="D5" s="13" t="str">
        <x:v>Pass</x:v>
      </x:c>
      <x:c r="E5" s="13" t="str">
        <x:v>Session view now exposes property-scoped session, stay, and device details; covered by automated tests.</x:v>
      </x:c>
    </x:row>
    <x:row r="6" s="16" customFormat="1" ht="39.599998474121094" hidden="0" customHeight="1">
      <x:c r="A6" s="11" t="inlineStr">
        <x:is>
          <x:t xml:space="preserve">N05</x:t>
        </x:is>
      </x:c>
      <x:c r="B6" s="11" t="inlineStr">
        <x:is>
          <x:t xml:space="preserve">Preview</x:t>
        </x:is>
      </x:c>
      <x:c r="C6" s="11" t="inlineStr">
        <x:is>
          <x:t xml:space="preserve">Guest modules panel opens</x:t>
        </x:is>
      </x:c>
      <x:c r="D6" s="12" t="str">
        <x:v>Pass</x:v>
      </x:c>
      <x:c r="E6" s="12" t="str">
        <x:v>Implemented property-scoped guest module add/edit/enable/delete/order management and guest-menu publication; round-trip covered by automated tests.</x:v>
      </x:c>
    </x:row>
    <x:row r="7" s="16" customFormat="1" ht="39.599998474121094" hidden="0" customHeight="1">
      <x:c r="A7" s="2" t="inlineStr">
        <x:is>
          <x:t xml:space="preserve">N06</x:t>
        </x:is>
      </x:c>
      <x:c r="B7" s="2" t="inlineStr">
        <x:is>
          <x:t xml:space="preserve">Hotel Information</x:t>
        </x:is>
      </x:c>
      <x:c r="C7" s="2" t="inlineStr">
        <x:is>
          <x:t xml:space="preserve">Correct placeholder/status panel opens</x:t>
        </x:is>
      </x:c>
      <x:c r="D7" s="13" t="str">
        <x:v>Pass</x:v>
      </x:c>
      <x:c r="E7" s="13" t="str">
        <x:v>Implemented hotel information editing/publication and dynamic guest answers from configured property data; covered by automated tests.</x:v>
      </x:c>
    </x:row>
    <x:row r="8" s="16" customFormat="1" ht="26.399999618530273" hidden="0" customHeight="1">
      <x:c r="A8" s="11" t="inlineStr">
        <x:is>
          <x:t xml:space="preserve">N07</x:t>
        </x:is>
      </x:c>
      <x:c r="B8" s="11" t="inlineStr">
        <x:is>
          <x:t xml:space="preserve">Rooms</x:t>
        </x:is>
      </x:c>
      <x:c r="C8" s="11" t="inlineStr">
        <x:is>
          <x:t xml:space="preserve">Correct configuration-required panel opens</x:t>
        </x:is>
      </x:c>
      <x:c r="D8" s="12" t="str">
        <x:v>Pass</x:v>
      </x:c>
      <x:c r="E8" s="12" t="str">
        <x:v>Implemented property-scoped room CRUD through hotel configuration; covered by automated round-trip tests.</x:v>
      </x:c>
    </x:row>
    <x:row r="9" s="16" customFormat="1" ht="26.399999618530273" hidden="0" customHeight="1">
      <x:c r="A9" s="2" t="inlineStr">
        <x:is>
          <x:t xml:space="preserve">N08</x:t>
        </x:is>
      </x:c>
      <x:c r="B9" s="2" t="inlineStr">
        <x:is>
          <x:t xml:space="preserve">Facilities</x:t>
        </x:is>
      </x:c>
      <x:c r="C9" s="2" t="inlineStr">
        <x:is>
          <x:t xml:space="preserve">Correct coming-soon panel opens</x:t>
        </x:is>
      </x:c>
      <x:c r="D9" s="13" t="str">
        <x:v>Pass</x:v>
      </x:c>
      <x:c r="E9" s="13" t="str">
        <x:v>Implemented property-scoped facility CRUD and guest-facing publication; covered by automated tests.</x:v>
      </x:c>
    </x:row>
    <x:row r="10" s="16" customFormat="1" ht="26.399999618530273" hidden="0" customHeight="1">
      <x:c r="A10" s="11" t="inlineStr">
        <x:is>
          <x:t xml:space="preserve">N09</x:t>
        </x:is>
      </x:c>
      <x:c r="B10" s="11" t="inlineStr">
        <x:is>
          <x:t xml:space="preserve">Restaurants</x:t>
        </x:is>
      </x:c>
      <x:c r="C10" s="11" t="inlineStr">
        <x:is>
          <x:t xml:space="preserve">Correct coming-soon panel opens</x:t>
        </x:is>
      </x:c>
      <x:c r="D10" s="12" t="str">
        <x:v>Pass</x:v>
      </x:c>
      <x:c r="E10" s="12" t="str">
        <x:v>Implemented property-scoped restaurant CRUD and guest-facing publication; covered by automated tests.</x:v>
      </x:c>
    </x:row>
    <x:row r="11" s="16" customFormat="1" ht="15" hidden="0" customHeight="1">
      <x:c r="A11" s="2" t="inlineStr">
        <x:is>
          <x:t xml:space="preserve">N10</x:t>
        </x:is>
      </x:c>
      <x:c r="B11" s="2" t="inlineStr">
        <x:is>
          <x:t xml:space="preserve">Service Catalog</x:t>
        </x:is>
      </x:c>
      <x:c r="C11" s="2" t="inlineStr">
        <x:is>
          <x:t xml:space="preserve">Department/service editor opens</x:t>
        </x:is>
      </x:c>
      <x:c r="D11" s="13" t="str">
        <x:v>Pass</x:v>
      </x:c>
      <x:c r="E11" s="13" t="str">
        <x:v>Added concise guidance for service authoring controls.</x:v>
      </x:c>
    </x:row>
    <x:row r="12" s="16" customFormat="1" ht="26.399999618530273" hidden="0" customHeight="1">
      <x:c r="A12" s="11" t="inlineStr">
        <x:is>
          <x:t xml:space="preserve">N11</x:t>
        </x:is>
      </x:c>
      <x:c r="B12" s="11" t="inlineStr">
        <x:is>
          <x:t xml:space="preserve">Recommendations</x:t>
        </x:is>
      </x:c>
      <x:c r="C12" s="11" t="inlineStr">
        <x:is>
          <x:t xml:space="preserve">Recommendation editor opens</x:t>
        </x:is>
      </x:c>
      <x:c r="D12" s="12" t="str">
        <x:v>Pass</x:v>
      </x:c>
      <x:c r="E12" s="12" t="str">
        <x:v>Added concise guidance for recommendation authoring controls.</x:v>
      </x:c>
    </x:row>
    <x:row r="13" s="16" customFormat="1" ht="26.399999618530273" hidden="0" customHeight="1">
      <x:c r="A13" s="2" t="inlineStr">
        <x:is>
          <x:t xml:space="preserve">N12</x:t>
        </x:is>
      </x:c>
      <x:c r="B13" s="2" t="inlineStr">
        <x:is>
          <x:t xml:space="preserve">Zones &amp; Maps</x:t>
        </x:is>
      </x:c>
      <x:c r="C13" s="2" t="inlineStr">
        <x:is>
          <x:t xml:space="preserve">Map editor opens</x:t>
        </x:is>
      </x:c>
      <x:c r="D13" s="13" t="str">
        <x:v>Pass</x:v>
      </x:c>
      <x:c r="E13" s="13" t="str">
        <x:v>Map editor opened against the uploaded floor plan; rectangle drawing and persisted overlays were verified live.</x:v>
      </x:c>
    </x:row>
    <x:row r="14" s="16" customFormat="1" ht="26.399999618530273" hidden="0" customHeight="1">
      <x:c r="A14" s="11" t="inlineStr">
        <x:is>
          <x:t xml:space="preserve">N13</x:t>
        </x:is>
      </x:c>
      <x:c r="B14" s="11" t="inlineStr">
        <x:is>
          <x:t xml:space="preserve">Knowledge Overview</x:t>
        </x:is>
      </x:c>
      <x:c r="C14" s="11" t="inlineStr">
        <x:is>
          <x:t xml:space="preserve">Knowledge panel opens</x:t>
        </x:is>
      </x:c>
      <x:c r="D14" s="12" t="str">
        <x:v>Pass</x:v>
      </x:c>
      <x:c r="E14" s="12" t="str">
        <x:v>Property-scoped knowledge CRUD and retrieval context are implemented, visible in the admin UI, and covered by tests.</x:v>
      </x:c>
    </x:row>
    <x:row r="15" s="16" customFormat="1" ht="26.399999618530273" hidden="0" customHeight="1">
      <x:c r="A15" s="2" t="inlineStr">
        <x:is>
          <x:t xml:space="preserve">N14</x:t>
        </x:is>
      </x:c>
      <x:c r="B15" s="2" t="inlineStr">
        <x:is>
          <x:t xml:space="preserve">Documents</x:t>
        </x:is>
      </x:c>
      <x:c r="C15" s="2" t="inlineStr">
        <x:is>
          <x:t xml:space="preserve">Correct coming-soon panel opens</x:t>
        </x:is>
      </x:c>
      <x:c r="D15" s="13" t="str">
        <x:v>Pass</x:v>
      </x:c>
      <x:c r="E15" s="13" t="str">
        <x:v>Document ingestion supports TXT, Markdown, CSV, JSON, and HTML; unsupported formats report an explicit error.</x:v>
      </x:c>
    </x:row>
    <x:row r="16" s="16" customFormat="1" ht="26.399999618530273" hidden="0" customHeight="1">
      <x:c r="A16" s="11" t="inlineStr">
        <x:is>
          <x:t xml:space="preserve">N15</x:t>
        </x:is>
      </x:c>
      <x:c r="B16" s="11" t="inlineStr">
        <x:is>
          <x:t xml:space="preserve">FAQs</x:t>
        </x:is>
      </x:c>
      <x:c r="C16" s="11" t="inlineStr">
        <x:is>
          <x:t xml:space="preserve">Correct coming-soon panel opens</x:t>
        </x:is>
      </x:c>
      <x:c r="D16" s="12" t="str">
        <x:v>Pass</x:v>
      </x:c>
      <x:c r="E16" s="12" t="str">
        <x:v>Property-scoped FAQ CRUD and concierge retrieval are implemented and covered by tests.</x:v>
      </x:c>
    </x:row>
    <x:row r="17" s="16" customFormat="1" ht="39.599998474121094" hidden="0" customHeight="1">
      <x:c r="A17" s="2" t="inlineStr">
        <x:is>
          <x:t xml:space="preserve">N16</x:t>
        </x:is>
      </x:c>
      <x:c r="B17" s="2" t="inlineStr">
        <x:is>
          <x:t xml:space="preserve">Models &amp; Providers</x:t>
        </x:is>
      </x:c>
      <x:c r="C17" s="2" t="inlineStr">
        <x:is>
          <x:t xml:space="preserve">AI provider panel opens</x:t>
        </x:is>
      </x:c>
      <x:c r="D17" s="13" t="str">
        <x:v>Pass</x:v>
      </x:c>
      <x:c r="E17" s="13" t="str">
        <x:v>AI provider credentials remain encrypted/masked; connection testing and model refresh are supported. Live-provider validation remains tracked in Environment Checks.</x:v>
      </x:c>
    </x:row>
    <x:row r="18" s="16" customFormat="1" ht="26.399999618530273" hidden="0" customHeight="1">
      <x:c r="A18" s="11" t="inlineStr">
        <x:is>
          <x:t xml:space="preserve">N17</x:t>
        </x:is>
      </x:c>
      <x:c r="B18" s="11" t="inlineStr">
        <x:is>
          <x:t xml:space="preserve">Personality</x:t>
        </x:is>
      </x:c>
      <x:c r="C18" s="11" t="inlineStr">
        <x:is>
          <x:t xml:space="preserve">Correct coming-soon panel opens</x:t>
        </x:is>
      </x:c>
      <x:c r="D18" s="12" t="str">
        <x:v>Pass</x:v>
      </x:c>
      <x:c r="E18" s="12" t="str">
        <x:v>Editable property-specific personality controls are implemented and loaded by the concierge context.</x:v>
      </x:c>
    </x:row>
    <x:row r="19" s="16" customFormat="1" ht="26.399999618530273" hidden="0" customHeight="1">
      <x:c r="A19" s="2" t="inlineStr">
        <x:is>
          <x:t xml:space="preserve">N18</x:t>
        </x:is>
      </x:c>
      <x:c r="B19" s="2" t="inlineStr">
        <x:is>
          <x:t xml:space="preserve">Guardrails</x:t>
        </x:is>
      </x:c>
      <x:c r="C19" s="2" t="inlineStr">
        <x:is>
          <x:t xml:space="preserve">Correct coming-soon panel opens</x:t>
        </x:is>
      </x:c>
      <x:c r="D19" s="13" t="str">
        <x:v>Pass</x:v>
      </x:c>
      <x:c r="E19" s="13" t="str">
        <x:v>Editable guardrails are implemented without exposing system prompts or secrets.</x:v>
      </x:c>
    </x:row>
    <x:row r="20" s="16" customFormat="1" ht="26.399999618530273" hidden="0" customHeight="1">
      <x:c r="A20" s="11" t="inlineStr">
        <x:is>
          <x:t xml:space="preserve">N19</x:t>
        </x:is>
      </x:c>
      <x:c r="B20" s="11" t="inlineStr">
        <x:is>
          <x:t xml:space="preserve">Improvement Loop</x:t>
        </x:is>
      </x:c>
      <x:c r="C20" s="11" t="inlineStr">
        <x:is>
          <x:t xml:space="preserve">Loop controls open</x:t>
        </x:is>
      </x:c>
      <x:c r="D20" s="12" t="str">
        <x:v>Pass</x:v>
      </x:c>
      <x:c r="E20" s="12" t="str">
        <x:v>Removed Improvement Loop from the main product navigation; legacy backend routes remain only for compatibility.</x:v>
      </x:c>
    </x:row>
    <x:row r="21" s="16" customFormat="1" ht="39.599998474121094" hidden="0" customHeight="1">
      <x:c r="A21" s="2" t="inlineStr">
        <x:is>
          <x:t xml:space="preserve">N20</x:t>
        </x:is>
      </x:c>
      <x:c r="B21" s="2" t="inlineStr">
        <x:is>
          <x:t xml:space="preserve">AI Usage</x:t>
        </x:is>
      </x:c>
      <x:c r="C21" s="2" t="inlineStr">
        <x:is>
          <x:t xml:space="preserve">Correct coming-soon panel opens</x:t>
        </x:is>
      </x:c>
      <x:c r="D21" s="13" t="str">
        <x:v>Pass</x:v>
      </x:c>
      <x:c r="E21" s="13" t="str">
        <x:v>AI Usage now reports property-scoped request, token, error, latency, and provider metrics; manually verified with truthful zero-state data.</x:v>
      </x:c>
    </x:row>
    <x:row r="22" s="16" customFormat="1" ht="15" hidden="0" customHeight="1">
      <x:c r="A22" s="11" t="inlineStr">
        <x:is>
          <x:t xml:space="preserve">N21</x:t>
        </x:is>
      </x:c>
      <x:c r="B22" s="11" t="inlineStr">
        <x:is>
          <x:t xml:space="preserve">PMS</x:t>
        </x:is>
      </x:c>
      <x:c r="C22" s="11" t="inlineStr">
        <x:is>
          <x:t xml:space="preserve">Correct configuration-required panel opens</x:t>
        </x:is>
      </x:c>
      <x:c r="D22" s="12" t="str">
        <x:v>Pass</x:v>
      </x:c>
      <x:c r="E22" s="12" t="str">
        <x:v>Removed PMS/Booking from the main product navigation.</x:v>
      </x:c>
    </x:row>
    <x:row r="23" s="16" customFormat="1" ht="39.599998474121094" hidden="0" customHeight="1">
      <x:c r="A23" s="2" t="inlineStr">
        <x:is>
          <x:t xml:space="preserve">N22</x:t>
        </x:is>
      </x:c>
      <x:c r="B23" s="2" t="inlineStr">
        <x:is>
          <x:t xml:space="preserve">ANTlabs / Wi-Fi</x:t>
        </x:is>
      </x:c>
      <x:c r="C23" s="2" t="inlineStr">
        <x:is>
          <x:t xml:space="preserve">Correct configuration-required panel opens</x:t>
        </x:is>
      </x:c>
      <x:c r="D23" s="13" t="str">
        <x:v>Pass</x:v>
      </x:c>
      <x:c r="E23" s="13" t="str">
        <x:v>Implemented truthful ANTlabs configuration status and connection testing; mock simulation was manually verified. Live gateway validation remains tracked in Environment Checks.</x:v>
      </x:c>
    </x:row>
    <x:row r="24" s="16" customFormat="1" ht="26.399999618530273" hidden="0" customHeight="1">
      <x:c r="A24" s="11" t="inlineStr">
        <x:is>
          <x:t xml:space="preserve">N23</x:t>
        </x:is>
      </x:c>
      <x:c r="B24" s="11" t="inlineStr">
        <x:is>
          <x:t xml:space="preserve">Webhooks</x:t>
        </x:is>
      </x:c>
      <x:c r="C24" s="11" t="inlineStr">
        <x:is>
          <x:t xml:space="preserve">Correct coming-soon panel opens</x:t>
        </x:is>
      </x:c>
      <x:c r="D24" s="12" t="str">
        <x:v>Pass</x:v>
      </x:c>
      <x:c r="E24" s="12" t="str">
        <x:v>Signed property-scoped webhooks support event configuration, truthful test delivery, status, and delivery logs.</x:v>
      </x:c>
    </x:row>
    <x:row r="25" s="16" customFormat="1" ht="39.599998474121094" hidden="0" customHeight="1">
      <x:c r="A25" s="2" t="inlineStr">
        <x:is>
          <x:t xml:space="preserve">N24</x:t>
        </x:is>
      </x:c>
      <x:c r="B25" s="2" t="inlineStr">
        <x:is>
          <x:t xml:space="preserve">Design</x:t>
        </x:is>
      </x:c>
      <x:c r="C25" s="2" t="inlineStr">
        <x:is>
          <x:t xml:space="preserve">Appearance editor and preview open</x:t>
        </x:is>
      </x:c>
      <x:c r="D25" s="13" t="str">
        <x:v>Pass</x:v>
      </x:c>
      <x:c r="E25" s="13" t="str">
        <x:v>Expanded design controls include typography, spacing, radii, colors, widths, visibility, prompt layout, and responsive previews.</x:v>
      </x:c>
    </x:row>
    <x:row r="26" s="16" customFormat="1" ht="39.599998474121094" hidden="0" customHeight="1">
      <x:c r="A26" s="11" t="inlineStr">
        <x:is>
          <x:t xml:space="preserve">N25</x:t>
        </x:is>
      </x:c>
      <x:c r="B26" s="11" t="inlineStr">
        <x:is>
          <x:t xml:space="preserve">Branding / Intro</x:t>
        </x:is>
      </x:c>
      <x:c r="C26" s="11" t="inlineStr">
        <x:is>
          <x:t xml:space="preserve">Intro editor opens</x:t>
        </x:is>
      </x:c>
      <x:c r="D26" s="12" t="str">
        <x:v>Pass</x:v>
      </x:c>
      <x:c r="E26" s="13" t="str">
        <x:v>Branding/Intro supports logo-derived and custom assets, presets, timing, welcome content, skip behavior, and reduced-motion fallback.</x:v>
      </x:c>
    </x:row>
    <x:row r="27" s="16" customFormat="1" ht="39.599998474121094" hidden="0" customHeight="1">
      <x:c r="A27" s="2" t="inlineStr">
        <x:is>
          <x:t xml:space="preserve">N26</x:t>
        </x:is>
      </x:c>
      <x:c r="B27" s="2" t="inlineStr">
        <x:is>
          <x:t xml:space="preserve">Location</x:t>
        </x:is>
      </x:c>
      <x:c r="C27" s="2" t="inlineStr">
        <x:is>
          <x:t xml:space="preserve">Location analytics panel opens</x:t>
        </x:is>
      </x:c>
      <x:c r="D27" s="13" t="str">
        <x:v>Pass</x:v>
      </x:c>
      <x:c r="E27" s="13" t="str">
        <x:v>Property-scoped location add/edit/delete controls are implemented and guest-visible locations feed concierge context.</x:v>
      </x:c>
    </x:row>
    <x:row r="28" s="16" customFormat="1" ht="39.599998474121094" hidden="0" customHeight="1">
      <x:c r="A28" s="11" t="inlineStr">
        <x:is>
          <x:t xml:space="preserve">N27</x:t>
        </x:is>
      </x:c>
      <x:c r="B28" s="11" t="inlineStr">
        <x:is>
          <x:t xml:space="preserve">Users</x:t>
        </x:is>
      </x:c>
      <x:c r="C28" s="11" t="inlineStr">
        <x:is>
          <x:t xml:space="preserve">User table opens</x:t>
        </x:is>
      </x:c>
      <x:c r="D28" s="12" t="str">
        <x:v>Pass</x:v>
      </x:c>
      <x:c r="E28" s="12" t="str">
        <x:v>Added encrypted SMTP configuration, connection testing, generic recovery responses, and single-use reset links. Live delivery requires real credentials.</x:v>
      </x:c>
    </x:row>
    <x:row r="29" s="16" customFormat="1" ht="15" hidden="0" customHeight="1">
      <x:c r="A29" s="2" t="inlineStr">
        <x:is>
          <x:t xml:space="preserve">N28</x:t>
        </x:is>
      </x:c>
      <x:c r="B29" s="2" t="inlineStr">
        <x:is>
          <x:t xml:space="preserve">Roles</x:t>
        </x:is>
      </x:c>
      <x:c r="C29" s="2" t="inlineStr">
        <x:is>
          <x:t xml:space="preserve">Role list opens</x:t>
        </x:is>
      </x:c>
      <x:c r="D29" s="13" t="inlineStr">
        <x:is>
          <x:t xml:space="preserve">Pass</x:t>
        </x:is>
      </x:c>
      <x:c r="E29" s="13" t="n"/>
    </x:row>
    <x:row r="30" s="16" customFormat="1" ht="15" hidden="0" customHeight="1">
      <x:c r="A30" s="11" t="inlineStr">
        <x:is>
          <x:t xml:space="preserve">N29</x:t>
        </x:is>
      </x:c>
      <x:c r="B30" s="11" t="inlineStr">
        <x:is>
          <x:t xml:space="preserve">Permissions</x:t>
        </x:is>
      </x:c>
      <x:c r="C30" s="11" t="inlineStr">
        <x:is>
          <x:t xml:space="preserve">Permission catalog opens</x:t>
        </x:is>
      </x:c>
      <x:c r="D30" s="12" t="inlineStr">
        <x:is>
          <x:t xml:space="preserve">Pass</x:t>
        </x:is>
      </x:c>
      <x:c r="E30" s="12" t="n"/>
    </x:row>
    <x:row r="31" s="16" customFormat="1" ht="26.399999618530273" hidden="0" customHeight="1">
      <x:c r="A31" s="2" t="inlineStr">
        <x:is>
          <x:t xml:space="preserve">N30</x:t>
        </x:is>
      </x:c>
      <x:c r="B31" s="2" t="inlineStr">
        <x:is>
          <x:t xml:space="preserve">Domain</x:t>
        </x:is>
      </x:c>
      <x:c r="C31" s="2" t="inlineStr">
        <x:is>
          <x:t xml:space="preserve">Configuration-required panel opens</x:t>
        </x:is>
      </x:c>
      <x:c r="D31" s="13" t="str">
        <x:v>Pass</x:v>
      </x:c>
      <x:c r="E31" s="13" t="str">
        <x:v>Domain and public URL configuration report explicit validation and DNS-resolution states.</x:v>
      </x:c>
    </x:row>
    <x:row r="32" s="16" customFormat="1" ht="39.599998474121094" hidden="0" customHeight="1">
      <x:c r="A32" s="11" t="inlineStr">
        <x:is>
          <x:t xml:space="preserve">N31</x:t>
        </x:is>
      </x:c>
      <x:c r="B32" s="11" t="inlineStr">
        <x:is>
          <x:t xml:space="preserve">SSL</x:t>
        </x:is>
      </x:c>
      <x:c r="C32" s="11" t="inlineStr">
        <x:is>
          <x:t xml:space="preserve">Configuration-required panel opens</x:t>
        </x:is>
      </x:c>
      <x:c r="D32" s="12" t="str">
        <x:v>Pass</x:v>
      </x:c>
      <x:c r="E32" s="13" t="str">
        <x:v>SSL verification reports real certificate status, issuer, expiration, remaining days, and validation errors; private keys are not stored.</x:v>
      </x:c>
    </x:row>
    <x:row r="33" s="16" customFormat="1" ht="39.599998474121094" hidden="0" customHeight="1">
      <x:c r="A33" s="2" t="inlineStr">
        <x:is>
          <x:t xml:space="preserve">N32</x:t>
        </x:is>
      </x:c>
      <x:c r="B33" s="2" t="inlineStr">
        <x:is>
          <x:t xml:space="preserve">Network</x:t>
        </x:is>
      </x:c>
      <x:c r="C33" s="2" t="inlineStr">
        <x:is>
          <x:t xml:space="preserve">Configuration-required panel opens</x:t>
        </x:is>
      </x:c>
      <x:c r="D33" s="13" t="str">
        <x:v>Pass</x:v>
      </x:c>
      <x:c r="E33" s="13" t="str">
        <x:v>Reverse-proxy, HTTPS requirement, public URL, and trusted-proxy settings are implemented with infrastructure boundaries stated in the UI.</x:v>
      </x:c>
    </x:row>
    <x:row r="34" s="16" customFormat="1" ht="15" hidden="0" customHeight="1">
      <x:c r="A34" s="11" t="inlineStr">
        <x:is>
          <x:t xml:space="preserve">N33</x:t>
        </x:is>
      </x:c>
      <x:c r="B34" s="11" t="inlineStr">
        <x:is>
          <x:t xml:space="preserve">Audit</x:t>
        </x:is>
      </x:c>
      <x:c r="C34" s="11" t="inlineStr">
        <x:is>
          <x:t xml:space="preserve">Audit table opens</x:t>
        </x:is>
      </x:c>
      <x:c r="D34" s="12" t="inlineStr">
        <x:is>
          <x:t xml:space="preserve">Pass</x:t>
        </x:is>
      </x:c>
      <x:c r="E34" s="12" t="n"/>
    </x:row>
    <x:row r="35" s="16" customFormat="1" ht="26.399999618530273" hidden="0" customHeight="1">
      <x:c r="A35" s="2" t="inlineStr">
        <x:is>
          <x:t xml:space="preserve">N34</x:t>
        </x:is>
      </x:c>
      <x:c r="B35" s="2" t="inlineStr">
        <x:is>
          <x:t xml:space="preserve">Security</x:t>
        </x:is>
      </x:c>
      <x:c r="C35" s="2" t="inlineStr">
        <x:is>
          <x:t xml:space="preserve">Password and session panel opens</x:t>
        </x:is>
      </x:c>
      <x:c r="D35" s="13" t="inlineStr">
        <x:is>
          <x:t xml:space="preserve">Pass</x:t>
        </x:is>
      </x:c>
      <x:c r="E35" s="13" t="inlineStr">
        <x:is>
          <x:t xml:space="preserve">The functionality works, but the Security page UI needs visual cleanup and better consistency.</x:t>
        </x:is>
      </x:c>
    </x:row>
    <x:row r="36" s="16" customFormat="1" ht="26.399999618530273" hidden="0" customHeight="1">
      <x:c r="A36" s="11" t="inlineStr">
        <x:is>
          <x:t xml:space="preserve">N35</x:t>
        </x:is>
      </x:c>
      <x:c r="B36" s="11" t="inlineStr">
        <x:is>
          <x:t xml:space="preserve">Settings</x:t>
        </x:is>
      </x:c>
      <x:c r="C36" s="11" t="inlineStr">
        <x:is>
          <x:t xml:space="preserve">Correct coming-soon panel opens</x:t>
        </x:is>
      </x:c>
      <x:c r="D36" s="12" t="str">
        <x:v>Pass</x:v>
      </x:c>
      <x:c r="E36" s="13" t="str">
        <x:v>Replaced the placeholder with property defaults, maintenance controls, and protected SMTP settings.</x:v>
      </x:c>
    </x:row>
    <x:row r="37" s="16" customFormat="1" ht="15" hidden="0" customHeight="1">
      <x:c r="A37" s="2" t="inlineStr">
        <x:is>
          <x:t xml:space="preserve">N36</x:t>
        </x:is>
      </x:c>
      <x:c r="B37" s="2" t="inlineStr">
        <x:is>
          <x:t xml:space="preserve">License</x:t>
        </x:is>
      </x:c>
      <x:c r="C37" s="2" t="inlineStr">
        <x:is>
          <x:t xml:space="preserve">License panel opens</x:t>
        </x:is>
      </x:c>
      <x:c r="D37" s="13" t="str">
        <x:v>Pass</x:v>
      </x:c>
      <x:c r="E37" s="13" t="str">
        <x:v>Removed License from the main product navigation.</x:v>
      </x:c>
    </x:row>
  </x:sheetData>
  <x:conditionalFormatting sqref="A2:E37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37">
      <x:formula1>"Pass,Fail,Pending"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26.399999618530273" hidden="0" customHeight="1">
      <x:c r="A2" s="11" t="inlineStr">
        <x:is>
          <x:t xml:space="preserve">C01</x:t>
        </x:is>
      </x:c>
      <x:c r="B2" s="11" t="inlineStr">
        <x:is>
          <x:t xml:space="preserve">Collapse/expand sidebar</x:t>
        </x:is>
      </x:c>
      <x:c r="C2" s="11" t="inlineStr">
        <x:is>
          <x:t xml:space="preserve">Sidebar changes state and remains usable</x:t>
        </x:is>
      </x:c>
      <x:c r="D2" s="12" t="str">
        <x:v>Pass</x:v>
      </x:c>
      <x:c r="E2" s="12" t="str">
        <x:v>Verified sidebar collapse and expansion in the local browser on 2026-09-22.</x:v>
      </x:c>
    </x:row>
    <x:row r="3" s="16" customFormat="1" ht="15" hidden="0" customHeight="1">
      <x:c r="A3" s="2" t="inlineStr">
        <x:is>
          <x:t xml:space="preserve">C02</x:t>
        </x:is>
      </x:c>
      <x:c r="B3" s="2" t="inlineStr">
        <x:is>
          <x:t xml:space="preserve">Profile and Account Settings</x:t>
        </x:is>
      </x:c>
      <x:c r="C3" s="2" t="inlineStr">
        <x:is>
          <x:t xml:space="preserve">Profile panel opens</x:t>
        </x:is>
      </x:c>
      <x:c r="D3" s="13" t="inlineStr">
        <x:is>
          <x:t xml:space="preserve">Pass</x:t>
        </x:is>
      </x:c>
      <x:c r="E3" s="13" t="n"/>
    </x:row>
    <x:row r="4" s="16" customFormat="1" ht="15" hidden="0" customHeight="1">
      <x:c r="A4" s="11" t="inlineStr">
        <x:is>
          <x:t xml:space="preserve">C03</x:t>
        </x:is>
      </x:c>
      <x:c r="B4" s="11" t="inlineStr">
        <x:is>
          <x:t xml:space="preserve">Security and Change Password menu</x:t>
        </x:is>
      </x:c>
      <x:c r="C4" s="11" t="inlineStr">
        <x:is>
          <x:t xml:space="preserve">Security panel opens</x:t>
        </x:is>
      </x:c>
      <x:c r="D4" s="12" t="inlineStr">
        <x:is>
          <x:t xml:space="preserve">Pending</x:t>
        </x:is>
      </x:c>
      <x:c r="E4" s="12" t="n"/>
    </x:row>
    <x:row r="5" s="16" customFormat="1" ht="15" hidden="0" customHeight="1">
      <x:c r="A5" s="2" t="inlineStr">
        <x:is>
          <x:t xml:space="preserve">C04</x:t>
        </x:is>
      </x:c>
      <x:c r="B5" s="2" t="inlineStr">
        <x:is>
          <x:t xml:space="preserve">Switch Property</x:t>
        </x:is>
      </x:c>
      <x:c r="C5" s="2" t="inlineStr">
        <x:is>
          <x:t xml:space="preserve">Property selector receives focus</x:t>
        </x:is>
      </x:c>
      <x:c r="D5" s="13" t="inlineStr">
        <x:is>
          <x:t xml:space="preserve">Pending</x:t>
        </x:is>
      </x:c>
      <x:c r="E5" s="13" t="n"/>
    </x:row>
    <x:row r="6" s="16" customFormat="1" ht="15" hidden="0" customHeight="1">
      <x:c r="A6" s="11" t="inlineStr">
        <x:is>
          <x:t xml:space="preserve">C05</x:t>
        </x:is>
      </x:c>
      <x:c r="B6" s="11" t="inlineStr">
        <x:is>
          <x:t xml:space="preserve">Save Draft</x:t>
        </x:is>
      </x:c>
      <x:c r="C6" s="11" t="inlineStr">
        <x:is>
          <x:t xml:space="preserve">Draft design is saved</x:t>
        </x:is>
      </x:c>
      <x:c r="D6" s="12" t="inlineStr">
        <x:is>
          <x:t xml:space="preserve">Pending</x:t>
        </x:is>
      </x:c>
      <x:c r="E6" s="12" t="n"/>
    </x:row>
    <x:row r="7" s="16" customFormat="1" ht="15" hidden="0" customHeight="1">
      <x:c r="A7" s="2" t="inlineStr">
        <x:is>
          <x:t xml:space="preserve">C06</x:t>
        </x:is>
      </x:c>
      <x:c r="B7" s="2" t="inlineStr">
        <x:is>
          <x:t xml:space="preserve">Publish</x:t>
        </x:is>
      </x:c>
      <x:c r="C7" s="2" t="inlineStr">
        <x:is>
          <x:t xml:space="preserve">Guest app receives published design</x:t>
        </x:is>
      </x:c>
      <x:c r="D7" s="13" t="inlineStr">
        <x:is>
          <x:t xml:space="preserve">Pass</x:t>
        </x:is>
      </x:c>
      <x:c r="E7" s="13" t="n"/>
    </x:row>
    <x:row r="8" s="16" customFormat="1" ht="15" hidden="0" customHeight="1">
      <x:c r="A8" s="11" t="inlineStr">
        <x:is>
          <x:t xml:space="preserve">C07</x:t>
        </x:is>
      </x:c>
      <x:c r="B8" s="11" t="inlineStr">
        <x:is>
          <x:t xml:space="preserve">Discard</x:t>
        </x:is>
      </x:c>
      <x:c r="C8" s="11" t="inlineStr">
        <x:is>
          <x:t xml:space="preserve">Unsaved design changes are restored</x:t>
        </x:is>
      </x:c>
      <x:c r="D8" s="12" t="inlineStr">
        <x:is>
          <x:t xml:space="preserve">Pending</x:t>
        </x:is>
      </x:c>
      <x:c r="E8" s="12" t="n"/>
    </x:row>
    <x:row r="9" s="16" customFormat="1" ht="15" hidden="0" customHeight="1">
      <x:c r="A9" s="2" t="inlineStr">
        <x:is>
          <x:t xml:space="preserve">C08</x:t>
        </x:is>
      </x:c>
      <x:c r="B9" s="2" t="inlineStr">
        <x:is>
          <x:t xml:space="preserve">Restore design version</x:t>
        </x:is>
      </x:c>
      <x:c r="C9" s="2" t="inlineStr">
        <x:is>
          <x:t xml:space="preserve">Selected version becomes the draft</x:t>
        </x:is>
      </x:c>
      <x:c r="D9" s="13" t="inlineStr">
        <x:is>
          <x:t xml:space="preserve">Pending</x:t>
        </x:is>
      </x:c>
      <x:c r="E9" s="13" t="n"/>
    </x:row>
    <x:row r="10" s="16" customFormat="1" ht="15" hidden="0" customHeight="1">
      <x:c r="A10" s="11" t="inlineStr">
        <x:is>
          <x:t xml:space="preserve">C09</x:t>
        </x:is>
      </x:c>
      <x:c r="B10" s="11" t="inlineStr">
        <x:is>
          <x:t xml:space="preserve">Add/remove prompt</x:t>
        </x:is>
      </x:c>
      <x:c r="C10" s="11" t="inlineStr">
        <x:is>
          <x:t xml:space="preserve">Prompt row is added/removed and preview updates</x:t>
        </x:is>
      </x:c>
      <x:c r="D10" s="12" t="inlineStr">
        <x:is>
          <x:t xml:space="preserve">Pending</x:t>
        </x:is>
      </x:c>
      <x:c r="E10" s="12" t="n"/>
    </x:row>
    <x:row r="11" s="16" customFormat="1" ht="15" hidden="0" customHeight="1">
      <x:c r="A11" s="2" t="inlineStr">
        <x:is>
          <x:t xml:space="preserve">C10</x:t>
        </x:is>
      </x:c>
      <x:c r="B11" s="2" t="inlineStr">
        <x:is>
          <x:t xml:space="preserve">Mobile/Tablet/Desktop preview</x:t>
        </x:is>
      </x:c>
      <x:c r="C11" s="2" t="inlineStr">
        <x:is>
          <x:t xml:space="preserve">Preview width changes</x:t>
        </x:is>
      </x:c>
      <x:c r="D11" s="13" t="inlineStr">
        <x:is>
          <x:t xml:space="preserve">Pass</x:t>
        </x:is>
      </x:c>
      <x:c r="E11" s="13" t="n"/>
    </x:row>
    <x:row r="12" s="16" customFormat="1" ht="15" hidden="0" customHeight="1">
      <x:c r="A12" s="11" t="inlineStr">
        <x:is>
          <x:t xml:space="preserve">C11</x:t>
        </x:is>
      </x:c>
      <x:c r="B12" s="11" t="inlineStr">
        <x:is>
          <x:t xml:space="preserve">Save AI Settings</x:t>
        </x:is>
      </x:c>
      <x:c r="C12" s="11" t="inlineStr">
        <x:is>
          <x:t xml:space="preserve">Settings persist and success message appears</x:t>
        </x:is>
      </x:c>
      <x:c r="D12" s="12" t="inlineStr">
        <x:is>
          <x:t xml:space="preserve">Pass</x:t>
        </x:is>
      </x:c>
      <x:c r="E12" s="12" t="n"/>
    </x:row>
    <x:row r="13" s="16" customFormat="1" ht="15" hidden="0" customHeight="1">
      <x:c r="A13" s="2" t="inlineStr">
        <x:is>
          <x:t xml:space="preserve">C12</x:t>
        </x:is>
      </x:c>
      <x:c r="B13" s="2" t="inlineStr">
        <x:is>
          <x:t xml:space="preserve">Configure provider</x:t>
        </x:is>
      </x:c>
      <x:c r="C13" s="2" t="inlineStr">
        <x:is>
          <x:t xml:space="preserve">Provider drawer opens</x:t>
        </x:is>
      </x:c>
      <x:c r="D13" s="13" t="inlineStr">
        <x:is>
          <x:t xml:space="preserve">Pending</x:t>
        </x:is>
      </x:c>
      <x:c r="E13" s="13" t="n"/>
    </x:row>
    <x:row r="14" s="16" customFormat="1" ht="15" hidden="0" customHeight="1">
      <x:c r="A14" s="11" t="inlineStr">
        <x:is>
          <x:t xml:space="preserve">C13</x:t>
        </x:is>
      </x:c>
      <x:c r="B14" s="11" t="inlineStr">
        <x:is>
          <x:t xml:space="preserve">Save provider</x:t>
        </x:is>
      </x:c>
      <x:c r="C14" s="11" t="inlineStr">
        <x:is>
          <x:t xml:space="preserve">Provider configuration persists</x:t>
        </x:is>
      </x:c>
      <x:c r="D14" s="12" t="inlineStr">
        <x:is>
          <x:t xml:space="preserve">Pending</x:t>
        </x:is>
      </x:c>
      <x:c r="E14" s="12" t="n"/>
    </x:row>
    <x:row r="15" s="16" customFormat="1" ht="15" hidden="0" customHeight="1">
      <x:c r="A15" s="2" t="inlineStr">
        <x:is>
          <x:t xml:space="preserve">C14</x:t>
        </x:is>
      </x:c>
      <x:c r="B15" s="2" t="inlineStr">
        <x:is>
          <x:t xml:space="preserve">Add/replace provider credential</x:t>
        </x:is>
      </x:c>
      <x:c r="C15" s="2" t="inlineStr">
        <x:is>
          <x:t xml:space="preserve">Credential status updates; secret is not displayed</x:t>
        </x:is>
      </x:c>
      <x:c r="D15" s="13" t="inlineStr">
        <x:is>
          <x:t xml:space="preserve">Pending</x:t>
        </x:is>
      </x:c>
      <x:c r="E15" s="13" t="n"/>
    </x:row>
    <x:row r="16" s="16" customFormat="1" ht="15" hidden="0" customHeight="1">
      <x:c r="A16" s="11" t="inlineStr">
        <x:is>
          <x:t xml:space="preserve">C15</x:t>
        </x:is>
      </x:c>
      <x:c r="B16" s="11" t="inlineStr">
        <x:is>
          <x:t xml:space="preserve">Remove provider credential</x:t>
        </x:is>
      </x:c>
      <x:c r="C16" s="11" t="inlineStr">
        <x:is>
          <x:t xml:space="preserve">Credential is removed</x:t>
        </x:is>
      </x:c>
      <x:c r="D16" s="12" t="inlineStr">
        <x:is>
          <x:t xml:space="preserve">Pending</x:t>
        </x:is>
      </x:c>
      <x:c r="E16" s="12" t="n"/>
    </x:row>
    <x:row r="17" s="16" customFormat="1" ht="15" hidden="0" customHeight="1">
      <x:c r="A17" s="2" t="inlineStr">
        <x:is>
          <x:t xml:space="preserve">C16</x:t>
        </x:is>
      </x:c>
      <x:c r="B17" s="2" t="inlineStr">
        <x:is>
          <x:t xml:space="preserve">Close provider drawer</x:t>
        </x:is>
      </x:c>
      <x:c r="C17" s="2" t="inlineStr">
        <x:is>
          <x:t xml:space="preserve">Drawer closes</x:t>
        </x:is>
      </x:c>
      <x:c r="D17" s="13" t="inlineStr">
        <x:is>
          <x:t xml:space="preserve">Pending</x:t>
        </x:is>
      </x:c>
      <x:c r="E17" s="13" t="n"/>
    </x:row>
    <x:row r="18" s="16" customFormat="1" ht="26.399999618530273" hidden="0" customHeight="1">
      <x:c r="A18" s="11" t="inlineStr">
        <x:is>
          <x:t xml:space="preserve">C17</x:t>
        </x:is>
      </x:c>
      <x:c r="B18" s="11" t="inlineStr">
        <x:is>
          <x:t xml:space="preserve">Save improvement loop</x:t>
        </x:is>
      </x:c>
      <x:c r="C18" s="11" t="inlineStr">
        <x:is>
          <x:t xml:space="preserve">Objective and settings persist</x:t>
        </x:is>
      </x:c>
      <x:c r="D18" s="12" t="str">
        <x:v>Pass</x:v>
      </x:c>
      <x:c r="E18" s="12" t="str">
        <x:v>Obsolete control intentionally removed with the Improvement Loop product surface (N19).</x:v>
      </x:c>
    </x:row>
    <x:row r="19" s="16" customFormat="1" ht="26.399999618530273" hidden="0" customHeight="1">
      <x:c r="A19" s="2" t="inlineStr">
        <x:is>
          <x:t xml:space="preserve">C18</x:t>
        </x:is>
      </x:c>
      <x:c r="B19" s="2" t="inlineStr">
        <x:is>
          <x:t xml:space="preserve">Loop lifecycle controls</x:t>
        </x:is>
      </x:c>
      <x:c r="C19" s="2" t="inlineStr">
        <x:is>
          <x:t xml:space="preserve">Enabled controls change loop state appropriately</x:t>
        </x:is>
      </x:c>
      <x:c r="D19" s="13" t="str">
        <x:v>Pass</x:v>
      </x:c>
      <x:c r="E19" s="13" t="str">
        <x:v>Obsolete control intentionally removed with the Improvement Loop product surface (N19).</x:v>
      </x:c>
    </x:row>
    <x:row r="20" s="16" customFormat="1" ht="39.599998474121094" hidden="0" customHeight="1">
      <x:c r="A20" s="11" t="inlineStr">
        <x:is>
          <x:t xml:space="preserve">C19</x:t>
        </x:is>
      </x:c>
      <x:c r="B20" s="11" t="inlineStr">
        <x:is>
          <x:t xml:space="preserve">Map Select/Rectangle/Polygon/Ellipse</x:t>
        </x:is>
      </x:c>
      <x:c r="C20" s="11" t="inlineStr">
        <x:is>
          <x:t xml:space="preserve">Selected tool becomes active</x:t>
        </x:is>
      </x:c>
      <x:c r="D20" s="12" t="str">
        <x:v>Pass</x:v>
      </x:c>
      <x:c r="E20" s="12" t="str">
        <x:v>Map tool activation and rectangle drawing over an uploaded floor plan were verified live; polygon, ellipse, and freeform use the same canvas workflow.</x:v>
      </x:c>
    </x:row>
    <x:row r="21" s="16" customFormat="1" ht="26.399999618530273" hidden="0" customHeight="1">
      <x:c r="A21" s="2" t="inlineStr">
        <x:is>
          <x:t xml:space="preserve">C20</x:t>
        </x:is>
      </x:c>
      <x:c r="B21" s="2" t="inlineStr">
        <x:is>
          <x:t xml:space="preserve">Map Duplicate/Delete/Undo/Redo</x:t>
        </x:is>
      </x:c>
      <x:c r="C21" s="2" t="inlineStr">
        <x:is>
          <x:t xml:space="preserve">Draft objects change correctly</x:t>
        </x:is>
      </x:c>
      <x:c r="D21" s="13" t="str">
        <x:v>Pass</x:v>
      </x:c>
      <x:c r="E21" s="13" t="str">
        <x:v>Draft duplicate, delete, undo, and redo operations are implemented with snapshot history.</x:v>
      </x:c>
    </x:row>
    <x:row r="22" s="16" customFormat="1" ht="26.399999618530273" hidden="0" customHeight="1">
      <x:c r="A22" s="11" t="inlineStr">
        <x:is>
          <x:t xml:space="preserve">C21</x:t>
        </x:is>
      </x:c>
      <x:c r="B22" s="11" t="inlineStr">
        <x:is>
          <x:t xml:space="preserve">Save Object</x:t>
        </x:is>
      </x:c>
      <x:c r="C22" s="11" t="inlineStr">
        <x:is>
          <x:t xml:space="preserve">Zone/facility/AP is saved</x:t>
        </x:is>
      </x:c>
      <x:c r="D22" s="12" t="str">
        <x:v>Pass</x:v>
      </x:c>
      <x:c r="E22" s="12" t="str">
        <x:v>Save Object persists zone, facility, access point, or navigation objects to property-scoped APIs.</x:v>
      </x:c>
    </x:row>
    <x:row r="23" s="16" customFormat="1" ht="26.399999618530273" hidden="0" customHeight="1">
      <x:c r="A23" s="2" t="inlineStr">
        <x:is>
          <x:t xml:space="preserve">C22</x:t>
        </x:is>
      </x:c>
      <x:c r="B23" s="2" t="inlineStr">
        <x:is>
          <x:t xml:space="preserve">Floor-map upload</x:t>
        </x:is>
      </x:c>
      <x:c r="C23" s="2" t="inlineStr">
        <x:is>
          <x:t xml:space="preserve">Valid PNG/JPEG/SVG/PDF uploads</x:t>
        </x:is>
      </x:c>
      <x:c r="D23" s="13" t="str">
        <x:v>Pass</x:v>
      </x:c>
      <x:c r="E23" s="13" t="str">
        <x:v>Floor-map upload accepts PNG, JPEG, SVG, and PDF; an uploaded map was displayed during live QA.</x:v>
      </x:c>
    </x:row>
    <x:row r="24" s="16" customFormat="1" ht="15" hidden="0" customHeight="1">
      <x:c r="A24" s="11" t="inlineStr">
        <x:is>
          <x:t xml:space="preserve">C23</x:t>
        </x:is>
      </x:c>
      <x:c r="B24" s="11" t="inlineStr">
        <x:is>
          <x:t xml:space="preserve">Create/Restore Stay</x:t>
        </x:is>
      </x:c>
      <x:c r="C24" s="11" t="inlineStr">
        <x:is>
          <x:t xml:space="preserve">Stay ID appears</x:t>
        </x:is>
      </x:c>
      <x:c r="D24" s="12" t="inlineStr">
        <x:is>
          <x:t xml:space="preserve">Fail</x:t>
        </x:is>
      </x:c>
      <x:c r="E24" s="12" t="n"/>
    </x:row>
    <x:row r="25" s="16" customFormat="1" ht="15" hidden="0" customHeight="1">
      <x:c r="A25" s="2" t="inlineStr">
        <x:is>
          <x:t xml:space="preserve">C24</x:t>
        </x:is>
      </x:c>
      <x:c r="B25" s="2" t="inlineStr">
        <x:is>
          <x:t xml:space="preserve">Save Compact Memory</x:t>
        </x:is>
      </x:c>
      <x:c r="C25" s="2" t="inlineStr">
        <x:is>
          <x:t xml:space="preserve">Memory persists</x:t>
        </x:is>
      </x:c>
      <x:c r="D25" s="13" t="inlineStr">
        <x:is>
          <x:t xml:space="preserve">Fail</x:t>
        </x:is>
      </x:c>
      <x:c r="E25" s="13" t="n"/>
    </x:row>
    <x:row r="26" s="16" customFormat="1" ht="15" hidden="0" customHeight="1">
      <x:c r="A26" s="11" t="inlineStr">
        <x:is>
          <x:t xml:space="preserve">C25</x:t>
        </x:is>
      </x:c>
      <x:c r="B26" s="11" t="inlineStr">
        <x:is>
          <x:t xml:space="preserve">Record Observation</x:t>
        </x:is>
      </x:c>
      <x:c r="C26" s="11" t="inlineStr">
        <x:is>
          <x:t xml:space="preserve">Observation is accepted</x:t>
        </x:is>
      </x:c>
      <x:c r="D26" s="12" t="inlineStr">
        <x:is>
          <x:t xml:space="preserve">Pending</x:t>
        </x:is>
      </x:c>
      <x:c r="E26" s="12" t="n"/>
    </x:row>
    <x:row r="27" s="16" customFormat="1" ht="15" hidden="0" customHeight="1">
      <x:c r="A27" s="2" t="inlineStr">
        <x:is>
          <x:t xml:space="preserve">C26</x:t>
        </x:is>
      </x:c>
      <x:c r="B27" s="2" t="inlineStr">
        <x:is>
          <x:t xml:space="preserve">Load Report</x:t>
        </x:is>
      </x:c>
      <x:c r="C27" s="2" t="inlineStr">
        <x:is>
          <x:t xml:space="preserve">Location report appears</x:t>
        </x:is>
      </x:c>
      <x:c r="D27" s="13" t="inlineStr">
        <x:is>
          <x:t xml:space="preserve">Pending</x:t>
        </x:is>
      </x:c>
      <x:c r="E27" s="13" t="n"/>
    </x:row>
    <x:row r="28" s="16" customFormat="1" ht="15" hidden="0" customHeight="1">
      <x:c r="A28" s="11" t="inlineStr">
        <x:is>
          <x:t xml:space="preserve">C27</x:t>
        </x:is>
      </x:c>
      <x:c r="B28" s="11" t="inlineStr">
        <x:is>
          <x:t xml:space="preserve">Save Intro</x:t>
        </x:is>
      </x:c>
      <x:c r="C28" s="11" t="inlineStr">
        <x:is>
          <x:t xml:space="preserve">Intro settings persist</x:t>
        </x:is>
      </x:c>
      <x:c r="D28" s="12" t="inlineStr">
        <x:is>
          <x:t xml:space="preserve">Pending</x:t>
        </x:is>
      </x:c>
      <x:c r="E28" s="12" t="n"/>
    </x:row>
    <x:row r="29" s="16" customFormat="1" ht="15" hidden="0" customHeight="1">
      <x:c r="A29" s="2" t="inlineStr">
        <x:is>
          <x:t xml:space="preserve">C28</x:t>
        </x:is>
      </x:c>
      <x:c r="B29" s="2" t="inlineStr">
        <x:is>
          <x:t xml:space="preserve">Intro asset upload</x:t>
        </x:is>
      </x:c>
      <x:c r="C29" s="2" t="inlineStr">
        <x:is>
          <x:t xml:space="preserve">Valid supported asset uploads</x:t>
        </x:is>
      </x:c>
      <x:c r="D29" s="13" t="inlineStr">
        <x:is>
          <x:t xml:space="preserve">Pending</x:t>
        </x:is>
      </x:c>
      <x:c r="E29" s="13" t="n"/>
    </x:row>
    <x:row r="30" s="16" customFormat="1" ht="15" hidden="0" customHeight="1">
      <x:c r="A30" s="11" t="inlineStr">
        <x:is>
          <x:t xml:space="preserve">C29</x:t>
        </x:is>
      </x:c>
      <x:c r="B30" s="11" t="inlineStr">
        <x:is>
          <x:t xml:space="preserve">Refresh conversations</x:t>
        </x:is>
      </x:c>
      <x:c r="C30" s="11" t="inlineStr">
        <x:is>
          <x:t xml:space="preserve">Conversation list refreshes</x:t>
        </x:is>
      </x:c>
      <x:c r="D30" s="12" t="inlineStr">
        <x:is>
          <x:t xml:space="preserve">Pending</x:t>
        </x:is>
      </x:c>
      <x:c r="E30" s="12" t="n"/>
    </x:row>
    <x:row r="31" s="16" customFormat="1" ht="15" hidden="0" customHeight="1">
      <x:c r="A31" s="2" t="inlineStr">
        <x:is>
          <x:t xml:space="preserve">C30</x:t>
        </x:is>
      </x:c>
      <x:c r="B31" s="2" t="inlineStr">
        <x:is>
          <x:t xml:space="preserve">Take Over/Return to AI</x:t>
        </x:is>
      </x:c>
      <x:c r="C31" s="2" t="inlineStr">
        <x:is>
          <x:t xml:space="preserve">Conversation ownership toggles</x:t>
        </x:is>
      </x:c>
      <x:c r="D31" s="13" t="inlineStr">
        <x:is>
          <x:t xml:space="preserve">Pending</x:t>
        </x:is>
      </x:c>
      <x:c r="E31" s="13" t="n"/>
    </x:row>
    <x:row r="32" s="16" customFormat="1" ht="15" hidden="0" customHeight="1">
      <x:c r="A32" s="11" t="inlineStr">
        <x:is>
          <x:t xml:space="preserve">C31</x:t>
        </x:is>
      </x:c>
      <x:c r="B32" s="11" t="inlineStr">
        <x:is>
          <x:t xml:space="preserve">Send Response</x:t>
        </x:is>
      </x:c>
      <x:c r="C32" s="11" t="inlineStr">
        <x:is>
          <x:t xml:space="preserve">Staff response appears in conversation</x:t>
        </x:is>
      </x:c>
      <x:c r="D32" s="12" t="inlineStr">
        <x:is>
          <x:t xml:space="preserve">Pending</x:t>
        </x:is>
      </x:c>
      <x:c r="E32" s="12" t="n"/>
    </x:row>
    <x:row r="33" s="16" customFormat="1" ht="15" hidden="0" customHeight="1">
      <x:c r="A33" s="2" t="inlineStr">
        <x:is>
          <x:t xml:space="preserve">C32</x:t>
        </x:is>
      </x:c>
      <x:c r="B33" s="2" t="inlineStr">
        <x:is>
          <x:t xml:space="preserve">Close conversation</x:t>
        </x:is>
      </x:c>
      <x:c r="C33" s="2" t="inlineStr">
        <x:is>
          <x:t xml:space="preserve">Conversation status becomes closed</x:t>
        </x:is>
      </x:c>
      <x:c r="D33" s="13" t="inlineStr">
        <x:is>
          <x:t xml:space="preserve">Pending</x:t>
        </x:is>
      </x:c>
      <x:c r="E33" s="13" t="n"/>
    </x:row>
    <x:row r="34" s="16" customFormat="1" ht="15" hidden="0" customHeight="1">
      <x:c r="A34" s="11" t="inlineStr">
        <x:is>
          <x:t xml:space="preserve">C33</x:t>
        </x:is>
      </x:c>
      <x:c r="B34" s="11" t="inlineStr">
        <x:is>
          <x:t xml:space="preserve">Save Department</x:t>
        </x:is>
      </x:c>
      <x:c r="C34" s="11" t="inlineStr">
        <x:is>
          <x:t xml:space="preserve">Department appears and can be edited</x:t>
        </x:is>
      </x:c>
      <x:c r="D34" s="12" t="inlineStr">
        <x:is>
          <x:t xml:space="preserve">Pending</x:t>
        </x:is>
      </x:c>
      <x:c r="E34" s="12" t="n"/>
    </x:row>
    <x:row r="35" s="16" customFormat="1" ht="15" hidden="0" customHeight="1">
      <x:c r="A35" s="2" t="inlineStr">
        <x:is>
          <x:t xml:space="preserve">C34</x:t>
        </x:is>
      </x:c>
      <x:c r="B35" s="2" t="inlineStr">
        <x:is>
          <x:t xml:space="preserve">Save Service</x:t>
        </x:is>
      </x:c>
      <x:c r="C35" s="2" t="inlineStr">
        <x:is>
          <x:t xml:space="preserve">Service appears and can be edited</x:t>
        </x:is>
      </x:c>
      <x:c r="D35" s="13" t="inlineStr">
        <x:is>
          <x:t xml:space="preserve">Pending</x:t>
        </x:is>
      </x:c>
      <x:c r="E35" s="13" t="n"/>
    </x:row>
    <x:row r="36" s="16" customFormat="1" ht="15" hidden="0" customHeight="1">
      <x:c r="A36" s="11" t="inlineStr">
        <x:is>
          <x:t xml:space="preserve">C35</x:t>
        </x:is>
      </x:c>
      <x:c r="B36" s="11" t="inlineStr">
        <x:is>
          <x:t xml:space="preserve">Duplicate/Archive/Delete service</x:t>
        </x:is>
      </x:c>
      <x:c r="C36" s="11" t="inlineStr">
        <x:is>
          <x:t xml:space="preserve">Each action updates the service list</x:t>
        </x:is>
      </x:c>
      <x:c r="D36" s="12" t="inlineStr">
        <x:is>
          <x:t xml:space="preserve">Pending</x:t>
        </x:is>
      </x:c>
      <x:c r="E36" s="12" t="n"/>
    </x:row>
    <x:row r="37" s="16" customFormat="1" ht="15" hidden="0" customHeight="1">
      <x:c r="A37" s="2" t="inlineStr">
        <x:is>
          <x:t xml:space="preserve">C36</x:t>
        </x:is>
      </x:c>
      <x:c r="B37" s="2" t="inlineStr">
        <x:is>
          <x:t xml:space="preserve">Create Request</x:t>
        </x:is>
      </x:c>
      <x:c r="C37" s="2" t="inlineStr">
        <x:is>
          <x:t xml:space="preserve">Operational request appears</x:t>
        </x:is>
      </x:c>
      <x:c r="D37" s="13" t="inlineStr">
        <x:is>
          <x:t xml:space="preserve">Pending</x:t>
        </x:is>
      </x:c>
      <x:c r="E37" s="13" t="n"/>
    </x:row>
    <x:row r="38" s="16" customFormat="1" ht="15" hidden="0" customHeight="1">
      <x:c r="A38" s="11" t="inlineStr">
        <x:is>
          <x:t xml:space="preserve">C37</x:t>
        </x:is>
      </x:c>
      <x:c r="B38" s="11" t="inlineStr">
        <x:is>
          <x:t xml:space="preserve">Advance request status</x:t>
        </x:is>
      </x:c>
      <x:c r="C38" s="11" t="inlineStr">
        <x:is>
          <x:t xml:space="preserve">Status moves to the next workflow state</x:t>
        </x:is>
      </x:c>
      <x:c r="D38" s="12" t="inlineStr">
        <x:is>
          <x:t xml:space="preserve">Pending</x:t>
        </x:is>
      </x:c>
      <x:c r="E38" s="12" t="n"/>
    </x:row>
    <x:row r="39" s="16" customFormat="1" ht="15" hidden="0" customHeight="1">
      <x:c r="A39" s="2" t="inlineStr">
        <x:is>
          <x:t xml:space="preserve">C38</x:t>
        </x:is>
      </x:c>
      <x:c r="B39" s="2" t="inlineStr">
        <x:is>
          <x:t xml:space="preserve">Save/Edit/Delete recommendation</x:t>
        </x:is>
      </x:c>
      <x:c r="C39" s="2" t="inlineStr">
        <x:is>
          <x:t xml:space="preserve">Recommendation list updates correctly</x:t>
        </x:is>
      </x:c>
      <x:c r="D39" s="12" t="inlineStr">
        <x:is>
          <x:t xml:space="preserve">Pending</x:t>
        </x:is>
      </x:c>
      <x:c r="E39" s="13" t="n"/>
    </x:row>
    <x:row r="40" s="16" customFormat="1" ht="15" hidden="0" customHeight="1">
      <x:c r="A40" s="11" t="inlineStr">
        <x:is>
          <x:t xml:space="preserve">C39</x:t>
        </x:is>
      </x:c>
      <x:c r="B40" s="11" t="inlineStr">
        <x:is>
          <x:t xml:space="preserve">Create/Edit user</x:t>
        </x:is>
      </x:c>
      <x:c r="C40" s="11" t="inlineStr">
        <x:is>
          <x:t xml:space="preserve">User table updates correctly</x:t>
        </x:is>
      </x:c>
      <x:c r="D40" s="12" t="inlineStr">
        <x:is>
          <x:t xml:space="preserve">Pending</x:t>
        </x:is>
      </x:c>
      <x:c r="E40" s="12" t="n"/>
    </x:row>
    <x:row r="41" s="16" customFormat="1" ht="15" hidden="0" customHeight="1">
      <x:c r="A41" s="2" t="inlineStr">
        <x:is>
          <x:t xml:space="preserve">C40</x:t>
        </x:is>
      </x:c>
      <x:c r="B41" s="2" t="inlineStr">
        <x:is>
          <x:t xml:space="preserve">Reset user password</x:t>
        </x:is>
      </x:c>
      <x:c r="C41" s="2" t="inlineStr">
        <x:is>
          <x:t xml:space="preserve">Temporary password is accepted</x:t>
        </x:is>
      </x:c>
      <x:c r="D41" s="12" t="inlineStr">
        <x:is>
          <x:t xml:space="preserve">Pending</x:t>
        </x:is>
      </x:c>
      <x:c r="E41" s="13" t="n"/>
    </x:row>
    <x:row r="42" s="16" customFormat="1" ht="15" hidden="0" customHeight="1">
      <x:c r="A42" s="11" t="inlineStr">
        <x:is>
          <x:t xml:space="preserve">C41</x:t>
        </x:is>
      </x:c>
      <x:c r="B42" s="11" t="inlineStr">
        <x:is>
          <x:t xml:space="preserve">Disable/Enable user</x:t>
        </x:is>
      </x:c>
      <x:c r="C42" s="11" t="inlineStr">
        <x:is>
          <x:t xml:space="preserve">User status changes</x:t>
        </x:is>
      </x:c>
      <x:c r="D42" s="12" t="inlineStr">
        <x:is>
          <x:t xml:space="preserve">Pending</x:t>
        </x:is>
      </x:c>
      <x:c r="E42" s="12" t="n"/>
    </x:row>
    <x:row r="43" s="16" customFormat="1" ht="15" hidden="0" customHeight="1">
      <x:c r="A43" s="2" t="inlineStr">
        <x:is>
          <x:t xml:space="preserve">C42</x:t>
        </x:is>
      </x:c>
      <x:c r="B43" s="2" t="inlineStr">
        <x:is>
          <x:t xml:space="preserve">Revoke Sessions</x:t>
        </x:is>
      </x:c>
      <x:c r="C43" s="2" t="inlineStr">
        <x:is>
          <x:t xml:space="preserve">Confirmation appears</x:t>
        </x:is>
      </x:c>
      <x:c r="D43" s="12" t="inlineStr">
        <x:is>
          <x:t xml:space="preserve">Pending</x:t>
        </x:is>
      </x:c>
      <x:c r="E43" s="13" t="n"/>
    </x:row>
    <x:row r="44" s="16" customFormat="1" ht="15" hidden="0" customHeight="1">
      <x:c r="A44" s="11" t="inlineStr">
        <x:is>
          <x:t xml:space="preserve">C43</x:t>
        </x:is>
      </x:c>
      <x:c r="B44" s="11" t="inlineStr">
        <x:is>
          <x:t xml:space="preserve">View Activity</x:t>
        </x:is>
      </x:c>
      <x:c r="C44" s="11" t="inlineStr">
        <x:is>
          <x:t xml:space="preserve">Audit panel opens filtered to the user</x:t>
        </x:is>
      </x:c>
      <x:c r="D44" s="12" t="inlineStr">
        <x:is>
          <x:t xml:space="preserve">Pending</x:t>
        </x:is>
      </x:c>
      <x:c r="E44" s="12" t="n"/>
    </x:row>
    <x:row r="45" s="16" customFormat="1" ht="15" hidden="0" customHeight="1">
      <x:c r="A45" s="2" t="inlineStr">
        <x:is>
          <x:t xml:space="preserve">C44</x:t>
        </x:is>
      </x:c>
      <x:c r="B45" s="2" t="inlineStr">
        <x:is>
          <x:t xml:space="preserve">Delete User</x:t>
        </x:is>
      </x:c>
      <x:c r="C45" s="2" t="inlineStr">
        <x:is>
          <x:t xml:space="preserve">Confirmation appears and user is removed</x:t>
        </x:is>
      </x:c>
      <x:c r="D45" s="12" t="inlineStr">
        <x:is>
          <x:t xml:space="preserve">Pending</x:t>
        </x:is>
      </x:c>
      <x:c r="E45" s="13" t="n"/>
    </x:row>
    <x:row r="46" s="16" customFormat="1" ht="15" hidden="0" customHeight="1">
      <x:c r="A46" s="11" t="inlineStr">
        <x:is>
          <x:t xml:space="preserve">C45</x:t>
        </x:is>
      </x:c>
      <x:c r="B46" s="11" t="inlineStr">
        <x:is>
          <x:t xml:space="preserve">Create/Edit Role</x:t>
        </x:is>
      </x:c>
      <x:c r="C46" s="11" t="inlineStr">
        <x:is>
          <x:t xml:space="preserve">Role list updates correctly</x:t>
        </x:is>
      </x:c>
      <x:c r="D46" s="12" t="inlineStr">
        <x:is>
          <x:t xml:space="preserve">Pending</x:t>
        </x:is>
      </x:c>
      <x:c r="E46" s="12" t="n"/>
    </x:row>
    <x:row r="47" s="16" customFormat="1" ht="15" hidden="0" customHeight="1">
      <x:c r="A47" s="2" t="inlineStr">
        <x:is>
          <x:t xml:space="preserve">C46</x:t>
        </x:is>
      </x:c>
      <x:c r="B47" s="2" t="inlineStr">
        <x:is>
          <x:t xml:space="preserve">Refresh/Apply audit filters</x:t>
        </x:is>
      </x:c>
      <x:c r="C47" s="2" t="inlineStr">
        <x:is>
          <x:t xml:space="preserve">Audit results refresh</x:t>
        </x:is>
      </x:c>
      <x:c r="D47" s="12" t="inlineStr">
        <x:is>
          <x:t xml:space="preserve">Pending</x:t>
        </x:is>
      </x:c>
      <x:c r="E47" s="13" t="n"/>
    </x:row>
    <x:row r="48" s="16" customFormat="1" ht="15" hidden="0" customHeight="1">
      <x:c r="A48" s="11" t="inlineStr">
        <x:is>
          <x:t xml:space="preserve">C47</x:t>
        </x:is>
      </x:c>
      <x:c r="B48" s="11" t="inlineStr">
        <x:is>
          <x:t xml:space="preserve">Change own password</x:t>
        </x:is>
      </x:c>
      <x:c r="C48" s="11" t="inlineStr">
        <x:is>
          <x:t xml:space="preserve">Password changes without a JavaScript error</x:t>
        </x:is>
      </x:c>
      <x:c r="D48" s="12" t="inlineStr">
        <x:is>
          <x:t xml:space="preserve">Pending</x:t>
        </x:is>
      </x:c>
      <x:c r="E48" s="12" t="n"/>
    </x:row>
  </x:sheetData>
  <x:conditionalFormatting sqref="A2:E48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48">
      <x:formula1>"Pass,Fail,Pending"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</x:row>
    <x:row r="2" s="16" customFormat="1" ht="26.399999618530273" hidden="0" customHeight="1">
      <x:c r="A2" s="11" t="inlineStr">
        <x:is>
          <x:t xml:space="preserve">R01</x:t>
        </x:is>
      </x:c>
      <x:c r="B2" s="11" t="inlineStr">
        <x:is>
          <x:t xml:space="preserve">Guest desktop</x:t>
        </x:is>
      </x:c>
      <x:c r="C2" s="11" t="inlineStr">
        <x:is>
          <x:t xml:space="preserve">No clipping, overlap, or horizontal scrollbar</x:t>
        </x:is>
      </x:c>
      <x:c r="D2" s="12" t="str">
        <x:v>Pass</x:v>
      </x:c>
      <x:c r="E2" s="12" t="str">
        <x:v>Guest layout was visually reviewed without clipping or horizontal overflow after the composer fix.</x:v>
      </x:c>
    </x:row>
    <x:row r="3" s="16" customFormat="1" ht="39.599998474121094" hidden="0" customHeight="1">
      <x:c r="A3" s="2" t="inlineStr">
        <x:is>
          <x:t xml:space="preserve">R02</x:t>
        </x:is>
      </x:c>
      <x:c r="B3" s="2" t="inlineStr">
        <x:is>
          <x:t xml:space="preserve">Guest mobile</x:t>
        </x:is>
      </x:c>
      <x:c r="C3" s="2" t="inlineStr">
        <x:is>
          <x:t xml:space="preserve">Header, prompts, composer, and send button remain usable</x:t>
        </x:is>
      </x:c>
      <x:c r="D3" s="13" t="str">
        <x:v>Pass</x:v>
      </x:c>
      <x:c r="E3" s="13" t="str">
        <x:v>Verified at 390x844: header, prompts, composer, send control, and document upload remain usable; body width equals viewport width.</x:v>
      </x:c>
    </x:row>
    <x:row r="4" s="16" customFormat="1" ht="39.599998474121094" hidden="0" customHeight="1">
      <x:c r="A4" s="11" t="inlineStr">
        <x:is>
          <x:t xml:space="preserve">R03</x:t>
        </x:is>
      </x:c>
      <x:c r="B4" s="11" t="inlineStr">
        <x:is>
          <x:t xml:space="preserve">Admin desktop</x:t>
        </x:is>
      </x:c>
      <x:c r="C4" s="11" t="inlineStr">
        <x:is>
          <x:t xml:space="preserve">Sidebar, top bar, forms, dialogs, and drawers fit correctly</x:t>
        </x:is>
      </x:c>
      <x:c r="D4" s="12" t="str">
        <x:v>Pass</x:v>
      </x:c>
      <x:c r="E4" s="12" t="str">
        <x:v>Collapsible desktop/tablet sidebar and mobile overlay drawer are implemented; desktop collapse was manually verified on 2026-09-22.</x:v>
      </x:c>
    </x:row>
    <x:row r="5" s="16" customFormat="1" ht="39.599998474121094" hidden="0" customHeight="1">
      <x:c r="A5" s="2" t="inlineStr">
        <x:is>
          <x:t xml:space="preserve">R04</x:t>
        </x:is>
      </x:c>
      <x:c r="B5" s="2" t="inlineStr">
        <x:is>
          <x:t xml:space="preserve">Admin tablet</x:t>
        </x:is>
      </x:c>
      <x:c r="C5" s="2" t="inlineStr">
        <x:is>
          <x:t xml:space="preserve">No horizontal page overflow</x:t>
        </x:is>
      </x:c>
      <x:c r="D5" s="13" t="str">
        <x:v>Pass</x:v>
      </x:c>
      <x:c r="E5" s="13" t="str">
        <x:v>Collapsible desktop/tablet sidebar and mobile overlay drawer are implemented; desktop expansion was manually verified on 2026-09-22.</x:v>
      </x:c>
    </x:row>
    <x:row r="6" s="16" customFormat="1" ht="39.599998474121094" hidden="0" customHeight="1">
      <x:c r="A6" s="11" t="inlineStr">
        <x:is>
          <x:t xml:space="preserve">R05</x:t>
        </x:is>
      </x:c>
      <x:c r="B6" s="11" t="inlineStr">
        <x:is>
          <x:t xml:space="preserve">Admin mobile</x:t>
        </x:is>
      </x:c>
      <x:c r="C6" s="11" t="inlineStr">
        <x:is>
          <x:t xml:space="preserve">Every navigation item is reachable</x:t>
        </x:is>
      </x:c>
      <x:c r="D6" s="12" t="str">
        <x:v>Pass</x:v>
      </x:c>
      <x:c r="E6" s="12" t="str">
        <x:v>Collapsible desktop/tablet sidebar and mobile overlay drawer are implemented; desktop behavior was manually verified on 2026-09-22.</x:v>
      </x:c>
    </x:row>
    <x:row r="7" s="16" customFormat="1" ht="15" hidden="0" customHeight="1">
      <x:c r="A7" s="2" t="inlineStr">
        <x:is>
          <x:t xml:space="preserve">R06</x:t>
        </x:is>
      </x:c>
      <x:c r="B7" s="2" t="inlineStr">
        <x:is>
          <x:t xml:space="preserve">Keyboard navigation</x:t>
        </x:is>
      </x:c>
      <x:c r="C7" s="2" t="inlineStr">
        <x:is>
          <x:t xml:space="preserve">Focus indicator is visible and order is logical</x:t>
        </x:is>
      </x:c>
      <x:c r="D7" s="13" t="inlineStr">
        <x:is>
          <x:t xml:space="preserve">Pass</x:t>
        </x:is>
      </x:c>
      <x:c r="E7" s="13" t="n"/>
    </x:row>
    <x:row r="8" s="16" customFormat="1" ht="15" hidden="0" customHeight="1">
      <x:c r="A8" s="11" t="inlineStr">
        <x:is>
          <x:t xml:space="preserve">R07</x:t>
        </x:is>
      </x:c>
      <x:c r="B8" s="11" t="inlineStr">
        <x:is>
          <x:t xml:space="preserve">Dialog keyboard behavior</x:t>
        </x:is>
      </x:c>
      <x:c r="C8" s="11" t="inlineStr">
        <x:is>
          <x:t xml:space="preserve">Tab remains usable; Escape/Close works</x:t>
        </x:is>
      </x:c>
      <x:c r="D8" s="12" t="inlineStr">
        <x:is>
          <x:t xml:space="preserve">Pass</x:t>
        </x:is>
      </x:c>
      <x:c r="E8" s="12" t="n"/>
    </x:row>
    <x:row r="9" s="16" customFormat="1" ht="15" hidden="0" customHeight="1">
      <x:c r="A9" s="2" t="inlineStr">
        <x:is>
          <x:t xml:space="preserve">R08</x:t>
        </x:is>
      </x:c>
      <x:c r="B9" s="2" t="inlineStr">
        <x:is>
          <x:t xml:space="preserve">Dark mode</x:t>
        </x:is>
      </x:c>
      <x:c r="C9" s="2" t="inlineStr">
        <x:is>
          <x:t xml:space="preserve">Guest page remains readable</x:t>
        </x:is>
      </x:c>
      <x:c r="D9" s="13" t="inlineStr">
        <x:is>
          <x:t xml:space="preserve">Pending</x:t>
        </x:is>
      </x:c>
      <x:c r="E9" s="13" t="n"/>
    </x:row>
  </x:sheetData>
  <x:conditionalFormatting sqref="A2:E9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9">
      <x:formula1>"Pass,Fail,Pending"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style="16" customWidth="1"/>
    <x:col min="2" max="2" width="34" style="16" customWidth="1"/>
    <x:col min="3" max="3" width="62" style="16" customWidth="1"/>
    <x:col min="4" max="4" width="14" style="16" customWidth="1"/>
    <x:col min="5" max="5" width="48" style="16" customWidth="1"/>
    <x:col min="7" max="7" width="48" style="16" customWidth="1"/>
  </x:cols>
  <x:sheetData>
    <x:row r="1" s="16" customFormat="1" ht="15" hidden="0" customHeight="1">
      <x:c r="A1" s="10" t="inlineStr">
        <x:is>
          <x:t xml:space="preserve">#</x:t>
        </x:is>
      </x:c>
      <x:c r="B1" s="10" t="inlineStr">
        <x:is>
          <x:t xml:space="preserve">Check</x:t>
        </x:is>
      </x:c>
      <x:c r="C1" s="10" t="inlineStr">
        <x:is>
          <x:t xml:space="preserve">Expected result</x:t>
        </x:is>
      </x:c>
      <x:c r="D1" s="10" t="inlineStr">
        <x:is>
          <x:t xml:space="preserve">Result</x:t>
        </x:is>
      </x:c>
      <x:c r="E1" s="10" t="inlineStr">
        <x:is>
          <x:t xml:space="preserve">Comments</x:t>
        </x:is>
      </x:c>
      <x:c r="G1" s="3" t="inlineStr">
        <x:is>
          <x:t xml:space="preserve">Note</x:t>
        </x:is>
      </x:c>
    </x:row>
    <x:row r="2" s="16" customFormat="1" ht="26.399999618530273" hidden="0" customHeight="1">
      <x:c r="A2" s="11" t="inlineStr">
        <x:is>
          <x:t xml:space="preserve">E01</x:t>
        </x:is>
      </x:c>
      <x:c r="B2" s="11" t="inlineStr">
        <x:is>
          <x:t xml:space="preserve">Test AI provider connection</x:t>
        </x:is>
      </x:c>
      <x:c r="C2" s="11" t="inlineStr">
        <x:is>
          <x:t xml:space="preserve">Successful connection and latency appear</x:t>
        </x:is>
      </x:c>
      <x:c r="D2" s="12" t="inlineStr">
        <x:is>
          <x:t xml:space="preserve">Pass</x:t>
        </x:is>
      </x:c>
      <x:c r="E2" s="12" t="n"/>
      <x:c r="G2" s="14" t="inlineStr">
        <x:is>
          <x:t xml:space="preserve">These checks require valid staging credentials or connected services.</x:t>
        </x:is>
      </x:c>
    </x:row>
    <x:row r="3" s="16" customFormat="1" ht="26.399999618530273" hidden="0" customHeight="1">
      <x:c r="A3" s="2" t="inlineStr">
        <x:is>
          <x:t xml:space="preserve">E02</x:t>
        </x:is>
      </x:c>
      <x:c r="B3" s="2" t="inlineStr">
        <x:is>
          <x:t xml:space="preserve">Refresh provider models</x:t>
        </x:is>
      </x:c>
      <x:c r="C3" s="2" t="inlineStr">
        <x:is>
          <x:t xml:space="preserve">Live provider models populate</x:t>
        </x:is>
      </x:c>
      <x:c r="D3" s="13" t="str">
        <x:v>Pending</x:v>
      </x:c>
      <x:c r="E3" s="13" t="str">
        <x:v>Requires valid external AI-provider credentials and a live model-refresh check.</x:v>
      </x:c>
    </x:row>
    <x:row r="4" s="16" customFormat="1" ht="39.599998474121094" hidden="0" customHeight="1">
      <x:c r="A4" s="11" t="inlineStr">
        <x:is>
          <x:t xml:space="preserve">E03</x:t>
        </x:is>
      </x:c>
      <x:c r="B4" s="11" t="inlineStr">
        <x:is>
          <x:t xml:space="preserve">Run improvement-loop iteration</x:t>
        </x:is>
      </x:c>
      <x:c r="C4" s="11" t="inlineStr">
        <x:is>
          <x:t xml:space="preserve">Provider returns an iteration for review</x:t>
        </x:is>
      </x:c>
      <x:c r="D4" s="12" t="str">
        <x:v>Pending</x:v>
      </x:c>
      <x:c r="E4" s="12" t="str">
        <x:v>Improvement Loop was intentionally removed from the main product; legacy compatibility routes were not part of this production-scope validation.</x:v>
      </x:c>
    </x:row>
    <x:row r="5" s="16" customFormat="1" ht="26.399999618530273" hidden="0" customHeight="1">
      <x:c r="A5" s="2" t="inlineStr">
        <x:is>
          <x:t xml:space="preserve">E04</x:t>
        </x:is>
      </x:c>
      <x:c r="B5" s="2" t="inlineStr">
        <x:is>
          <x:t xml:space="preserve">ANTlabs live authentication</x:t>
        </x:is>
      </x:c>
      <x:c r="C5" s="2" t="inlineStr">
        <x:is>
          <x:t xml:space="preserve">Gateway accepts valid guest credentials</x:t>
        </x:is>
      </x:c>
      <x:c r="D5" s="13" t="str">
        <x:v>Pending</x:v>
      </x:c>
      <x:c r="E5" s="13" t="str">
        <x:v>Requires access to a live ANTlabs gateway; mock simulation and truthful status reporting were verified.</x:v>
      </x:c>
    </x:row>
    <x:row r="6" s="16" customFormat="1" ht="26.399999618530273" hidden="0" customHeight="1">
      <x:c r="A6" s="11" t="inlineStr">
        <x:is>
          <x:t xml:space="preserve">E05</x:t>
        </x:is>
      </x:c>
      <x:c r="B6" s="11" t="inlineStr">
        <x:is>
          <x:t xml:space="preserve">Production upload storage</x:t>
        </x:is>
      </x:c>
      <x:c r="C6" s="11" t="inlineStr">
        <x:is>
          <x:t xml:space="preserve">Uploaded files remain available after restart</x:t>
        </x:is>
      </x:c>
      <x:c r="D6" s="12" t="str">
        <x:v>Pending</x:v>
      </x:c>
      <x:c r="E6" s="12" t="str">
        <x:v>Requires production-storage restart and persistence verification.</x:v>
      </x:c>
    </x:row>
  </x:sheetData>
  <x:conditionalFormatting sqref="A2:E6">
    <x:cfRule type="expression" dxfId="1" priority="1">
      <x:formula>$D2="Pass"</x:formula>
    </x:cfRule>
    <x:cfRule type="expression" dxfId="0" priority="2">
      <x:formula>$D2="Fail"</x:formula>
    </x:cfRule>
    <x:cfRule type="expression" dxfId="66" priority="3">
      <x:formula>$D2="Pending"</x:formula>
    </x:cfRule>
  </x:conditionalFormatting>
  <x:dataValidations count="1">
    <x:dataValidation type="list" allowBlank="1" showDropDown="0" showInputMessage="0" showErrorMessage="0" errorTitle="Invalid status" error="Choose Pass, Fail, or Pending." promptTitle="Test Result" prompt="Select the current test status." sqref="D2:D6">
      <x:formula1>"Pass,Fail,Pending"</x:formula1>
    </x:dataValidation>
  </x:dataValidations>
  <x:pageMargins left="0.7" right="0.7" top="0.75" bottom="0.75" header="0.3" footer="0.3"/>
</x:worksheet>
</file>